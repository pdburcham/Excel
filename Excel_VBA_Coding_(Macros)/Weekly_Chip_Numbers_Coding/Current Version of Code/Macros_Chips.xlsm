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 and Edu/Career Portfolio/Egger Excel Macros Coding/Chip Data Weekly Reports/VBA Code Development for Chips/"/>
    </mc:Choice>
  </mc:AlternateContent>
  <xr:revisionPtr revIDLastSave="1" documentId="11_67034A03064EB58EDB371B35F1B8ADE09C19540C" xr6:coauthVersionLast="47" xr6:coauthVersionMax="47" xr10:uidLastSave="{DF0F03DB-6ED1-4F2E-9DDA-BD6E78613CB3}"/>
  <bookViews>
    <workbookView xWindow="-115" yWindow="-115" windowWidth="23601" windowHeight="13993" firstSheet="1" activeTab="1" xr2:uid="{00000000-000D-0000-FFFF-FFFF00000000}"/>
  </bookViews>
  <sheets>
    <sheet name="_com.sap.ip.bi.xl.hiddensheet" sheetId="4" state="veryHidden" r:id="rId1"/>
    <sheet name="May 2" sheetId="2" r:id="rId2"/>
    <sheet name="May 3" sheetId="10" r:id="rId3"/>
    <sheet name="May 4" sheetId="11" r:id="rId4"/>
    <sheet name="May 5" sheetId="12" r:id="rId5"/>
    <sheet name="May 13" sheetId="13" r:id="rId6"/>
    <sheet name="Week 18" sheetId="9" r:id="rId7"/>
  </sheets>
  <definedNames>
    <definedName name="SAPCrosstab1">#REF!</definedName>
    <definedName name="SAPCrosstab2">'May 2'!$A$1:$K$166</definedName>
    <definedName name="SAPCrosstab3">#REF!</definedName>
    <definedName name="SAPCrosstab4">#REF!</definedName>
    <definedName name="SAPCrosstab5">#REF!</definedName>
    <definedName name="SAPCrosstab6">#REF!</definedName>
    <definedName name="SAPCrosstab7">#REF!</definedName>
    <definedName name="SAPCrosstab8">'Week 18'!$A$1:$L$774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2" l="1"/>
  <c r="L6" i="2"/>
  <c r="L7" i="2"/>
  <c r="L8" i="2"/>
  <c r="L9" i="2"/>
  <c r="L11" i="2"/>
  <c r="L12" i="2"/>
  <c r="L13" i="2"/>
  <c r="L14" i="2"/>
  <c r="L17" i="2"/>
  <c r="L18" i="2"/>
  <c r="L20" i="2"/>
  <c r="L21" i="2"/>
  <c r="L22" i="2"/>
  <c r="L23" i="2"/>
  <c r="L24" i="2"/>
  <c r="L25" i="2"/>
  <c r="L26" i="2"/>
  <c r="L27" i="2"/>
  <c r="L28" i="2"/>
  <c r="L29" i="2"/>
  <c r="L30" i="2"/>
  <c r="L34" i="2"/>
  <c r="L35" i="2"/>
  <c r="L37" i="2"/>
  <c r="L38" i="2"/>
  <c r="L39" i="2"/>
  <c r="L41" i="2"/>
  <c r="L42" i="2"/>
  <c r="L43" i="2"/>
  <c r="L44" i="2"/>
  <c r="L46" i="2"/>
  <c r="L47" i="2"/>
  <c r="L48" i="2"/>
  <c r="L50" i="2"/>
  <c r="L51" i="2"/>
  <c r="L52" i="2"/>
  <c r="L53" i="2"/>
  <c r="L55" i="2"/>
  <c r="L56" i="2"/>
  <c r="L57" i="2"/>
  <c r="L59" i="2"/>
  <c r="L60" i="2"/>
  <c r="L61" i="2"/>
  <c r="L62" i="2"/>
  <c r="L63" i="2"/>
  <c r="L64" i="2"/>
  <c r="L67" i="2"/>
  <c r="L68" i="2"/>
  <c r="L69" i="2"/>
  <c r="L71" i="2"/>
  <c r="L72" i="2"/>
  <c r="L73" i="2"/>
  <c r="L74" i="2"/>
  <c r="L75" i="2"/>
  <c r="L76" i="2"/>
  <c r="L77" i="2"/>
  <c r="L78" i="2"/>
  <c r="L79" i="2"/>
  <c r="L81" i="2"/>
  <c r="L82" i="2"/>
  <c r="L83" i="2"/>
  <c r="L84" i="2"/>
  <c r="L85" i="2"/>
  <c r="L86" i="2"/>
  <c r="L89" i="2"/>
  <c r="L90" i="2"/>
  <c r="L91" i="2"/>
  <c r="L92" i="2"/>
  <c r="L93" i="2"/>
  <c r="L94" i="2"/>
  <c r="L95" i="2"/>
  <c r="L96" i="2"/>
  <c r="L97" i="2"/>
  <c r="L99" i="2"/>
  <c r="L100" i="2"/>
  <c r="L101" i="2"/>
  <c r="L102" i="2"/>
  <c r="L103" i="2"/>
  <c r="L104" i="2"/>
  <c r="L105" i="2"/>
  <c r="L107" i="2"/>
  <c r="L108" i="2"/>
  <c r="L109" i="2"/>
  <c r="L110" i="2"/>
  <c r="L111" i="2"/>
  <c r="L114" i="2"/>
  <c r="L115" i="2"/>
  <c r="L116" i="2"/>
  <c r="L117" i="2"/>
  <c r="L118" i="2"/>
  <c r="L120" i="2"/>
  <c r="L121" i="2"/>
  <c r="L122" i="2"/>
  <c r="L123" i="2"/>
  <c r="L124" i="2"/>
  <c r="L126" i="2"/>
  <c r="L127" i="2"/>
  <c r="L128" i="2"/>
  <c r="L130" i="2"/>
  <c r="L131" i="2"/>
  <c r="L132" i="2"/>
  <c r="L133" i="2"/>
  <c r="L134" i="2"/>
  <c r="L136" i="2"/>
  <c r="L137" i="2"/>
  <c r="L138" i="2"/>
  <c r="L140" i="2"/>
  <c r="L141" i="2"/>
  <c r="L143" i="2"/>
  <c r="L144" i="2"/>
  <c r="L147" i="2"/>
  <c r="L148" i="2"/>
  <c r="L150" i="2"/>
  <c r="L151" i="2"/>
  <c r="L152" i="2"/>
  <c r="L154" i="2"/>
  <c r="L155" i="2"/>
  <c r="L156" i="2"/>
  <c r="L159" i="2"/>
  <c r="L160" i="2"/>
  <c r="L161" i="2"/>
  <c r="L162" i="2"/>
  <c r="M5" i="2"/>
  <c r="M6" i="2"/>
  <c r="M7" i="2"/>
  <c r="M8" i="2"/>
  <c r="M9" i="2"/>
  <c r="M11" i="2"/>
  <c r="M12" i="2"/>
  <c r="M13" i="2"/>
  <c r="M14" i="2"/>
  <c r="M17" i="2"/>
  <c r="M18" i="2"/>
  <c r="M20" i="2"/>
  <c r="M21" i="2"/>
  <c r="M22" i="2"/>
  <c r="M23" i="2"/>
  <c r="M24" i="2"/>
  <c r="M25" i="2"/>
  <c r="M26" i="2"/>
  <c r="M27" i="2"/>
  <c r="M28" i="2"/>
  <c r="M29" i="2"/>
  <c r="M30" i="2"/>
  <c r="M34" i="2"/>
  <c r="M35" i="2"/>
  <c r="M37" i="2"/>
  <c r="M38" i="2"/>
  <c r="M39" i="2"/>
  <c r="M41" i="2"/>
  <c r="M42" i="2"/>
  <c r="M43" i="2"/>
  <c r="M44" i="2"/>
  <c r="M46" i="2"/>
  <c r="M47" i="2"/>
  <c r="M48" i="2"/>
  <c r="M50" i="2"/>
  <c r="M51" i="2"/>
  <c r="M52" i="2"/>
  <c r="M53" i="2"/>
  <c r="M55" i="2"/>
  <c r="M56" i="2"/>
  <c r="M57" i="2"/>
  <c r="M59" i="2"/>
  <c r="M60" i="2"/>
  <c r="M61" i="2"/>
  <c r="M62" i="2"/>
  <c r="M63" i="2"/>
  <c r="M64" i="2"/>
  <c r="M67" i="2"/>
  <c r="M68" i="2"/>
  <c r="M69" i="2"/>
  <c r="M71" i="2"/>
  <c r="M72" i="2"/>
  <c r="M73" i="2"/>
  <c r="M74" i="2"/>
  <c r="M75" i="2"/>
  <c r="M76" i="2"/>
  <c r="M77" i="2"/>
  <c r="M78" i="2"/>
  <c r="M79" i="2"/>
  <c r="M81" i="2"/>
  <c r="M82" i="2"/>
  <c r="M83" i="2"/>
  <c r="M84" i="2"/>
  <c r="M85" i="2"/>
  <c r="M86" i="2"/>
  <c r="M89" i="2"/>
  <c r="M90" i="2"/>
  <c r="M91" i="2"/>
  <c r="M92" i="2"/>
  <c r="M93" i="2"/>
  <c r="M94" i="2"/>
  <c r="M95" i="2"/>
  <c r="M96" i="2"/>
  <c r="M97" i="2"/>
  <c r="M99" i="2"/>
  <c r="M100" i="2"/>
  <c r="M101" i="2"/>
  <c r="M102" i="2"/>
  <c r="M103" i="2"/>
  <c r="M104" i="2"/>
  <c r="M105" i="2"/>
  <c r="M107" i="2"/>
  <c r="M108" i="2"/>
  <c r="M109" i="2"/>
  <c r="M110" i="2"/>
  <c r="M111" i="2"/>
  <c r="M115" i="2"/>
  <c r="M116" i="2"/>
  <c r="M117" i="2"/>
  <c r="M118" i="2"/>
  <c r="M120" i="2"/>
  <c r="M121" i="2"/>
  <c r="M122" i="2"/>
  <c r="M123" i="2"/>
  <c r="M124" i="2"/>
  <c r="M126" i="2"/>
  <c r="M127" i="2"/>
  <c r="M128" i="2"/>
  <c r="M130" i="2"/>
  <c r="M131" i="2"/>
  <c r="M132" i="2"/>
  <c r="M133" i="2"/>
  <c r="M134" i="2"/>
  <c r="M136" i="2"/>
  <c r="M137" i="2"/>
  <c r="M138" i="2"/>
  <c r="M140" i="2"/>
  <c r="M141" i="2"/>
  <c r="M143" i="2"/>
  <c r="M144" i="2"/>
  <c r="M147" i="2"/>
  <c r="M148" i="2"/>
  <c r="M150" i="2"/>
  <c r="M151" i="2"/>
  <c r="M152" i="2"/>
  <c r="M154" i="2"/>
  <c r="M155" i="2"/>
  <c r="M156" i="2"/>
  <c r="M159" i="2"/>
  <c r="M160" i="2"/>
  <c r="M161" i="2"/>
  <c r="M162" i="2"/>
  <c r="L4" i="10"/>
  <c r="L6" i="10"/>
  <c r="L7" i="10"/>
  <c r="L8" i="10"/>
  <c r="L9" i="10"/>
  <c r="L11" i="10"/>
  <c r="L12" i="10"/>
  <c r="L13" i="10"/>
  <c r="L14" i="10"/>
  <c r="L16" i="10"/>
  <c r="L17" i="10"/>
  <c r="L18" i="10"/>
  <c r="L20" i="10"/>
  <c r="L21" i="10"/>
  <c r="L22" i="10"/>
  <c r="L26" i="10"/>
  <c r="L27" i="10"/>
  <c r="L28" i="10"/>
  <c r="L29" i="10"/>
  <c r="L30" i="10"/>
  <c r="L32" i="10"/>
  <c r="L33" i="10"/>
  <c r="L34" i="10"/>
  <c r="L35" i="10"/>
  <c r="L37" i="10"/>
  <c r="L38" i="10"/>
  <c r="L40" i="10"/>
  <c r="L41" i="10"/>
  <c r="L42" i="10"/>
  <c r="L45" i="10"/>
  <c r="L46" i="10"/>
  <c r="L47" i="10"/>
  <c r="L48" i="10"/>
  <c r="L50" i="10"/>
  <c r="L51" i="10"/>
  <c r="L52" i="10"/>
  <c r="L53" i="10"/>
  <c r="L55" i="10"/>
  <c r="L56" i="10"/>
  <c r="L57" i="10"/>
  <c r="L59" i="10"/>
  <c r="L60" i="10"/>
  <c r="L62" i="10"/>
  <c r="L63" i="10"/>
  <c r="L64" i="10"/>
  <c r="L66" i="10"/>
  <c r="L67" i="10"/>
  <c r="L68" i="10"/>
  <c r="L71" i="10"/>
  <c r="L72" i="10"/>
  <c r="L73" i="10"/>
  <c r="L74" i="10"/>
  <c r="L75" i="10"/>
  <c r="L76" i="10"/>
  <c r="L78" i="10"/>
  <c r="L79" i="10"/>
  <c r="L80" i="10"/>
  <c r="L81" i="10"/>
  <c r="L82" i="10"/>
  <c r="L83" i="10"/>
  <c r="L84" i="10"/>
  <c r="L85" i="10"/>
  <c r="L87" i="10"/>
  <c r="L88" i="10"/>
  <c r="L89" i="10"/>
  <c r="L90" i="10"/>
  <c r="L91" i="10"/>
  <c r="L94" i="10"/>
  <c r="L95" i="10"/>
  <c r="L96" i="10"/>
  <c r="L97" i="10"/>
  <c r="L98" i="10"/>
  <c r="L99" i="10"/>
  <c r="L100" i="10"/>
  <c r="L101" i="10"/>
  <c r="L103" i="10"/>
  <c r="L104" i="10"/>
  <c r="L105" i="10"/>
  <c r="L106" i="10"/>
  <c r="L107" i="10"/>
  <c r="L108" i="10"/>
  <c r="L110" i="10"/>
  <c r="L111" i="10"/>
  <c r="L112" i="10"/>
  <c r="L113" i="10"/>
  <c r="L115" i="10"/>
  <c r="L117" i="10"/>
  <c r="L118" i="10"/>
  <c r="L119" i="10"/>
  <c r="L121" i="10"/>
  <c r="L122" i="10"/>
  <c r="L123" i="10"/>
  <c r="L124" i="10"/>
  <c r="L125" i="10"/>
  <c r="L126" i="10"/>
  <c r="L127" i="10"/>
  <c r="L128" i="10"/>
  <c r="L129" i="10"/>
  <c r="L130" i="10"/>
  <c r="L132" i="10"/>
  <c r="L133" i="10"/>
  <c r="L134" i="10"/>
  <c r="L135" i="10"/>
  <c r="L136" i="10"/>
  <c r="L137" i="10"/>
  <c r="L139" i="10"/>
  <c r="L140" i="10"/>
  <c r="L143" i="10"/>
  <c r="L144" i="10"/>
  <c r="L145" i="10"/>
  <c r="L146" i="10"/>
  <c r="L148" i="10"/>
  <c r="L149" i="10"/>
  <c r="L150" i="10"/>
  <c r="L151" i="10"/>
  <c r="L152" i="10"/>
  <c r="L153" i="10"/>
  <c r="L156" i="10"/>
  <c r="L157" i="10"/>
  <c r="L158" i="10"/>
  <c r="L160" i="10"/>
  <c r="L161" i="10"/>
  <c r="L162" i="10"/>
  <c r="L164" i="10"/>
  <c r="L165" i="10"/>
  <c r="L167" i="10"/>
  <c r="L168" i="10"/>
  <c r="L171" i="10"/>
  <c r="L172" i="10"/>
  <c r="L174" i="10"/>
  <c r="L175" i="10"/>
  <c r="L176" i="10"/>
  <c r="L177" i="10"/>
  <c r="L178" i="10"/>
  <c r="L179" i="10"/>
  <c r="L180" i="10"/>
  <c r="L181" i="10"/>
  <c r="M4" i="10"/>
  <c r="M6" i="10"/>
  <c r="M7" i="10"/>
  <c r="M8" i="10"/>
  <c r="M9" i="10"/>
  <c r="M11" i="10"/>
  <c r="M12" i="10"/>
  <c r="M13" i="10"/>
  <c r="M14" i="10"/>
  <c r="M16" i="10"/>
  <c r="M17" i="10"/>
  <c r="M18" i="10"/>
  <c r="M20" i="10"/>
  <c r="M21" i="10"/>
  <c r="M22" i="10"/>
  <c r="M26" i="10"/>
  <c r="M27" i="10"/>
  <c r="M28" i="10"/>
  <c r="M29" i="10"/>
  <c r="M30" i="10"/>
  <c r="M32" i="10"/>
  <c r="M33" i="10"/>
  <c r="M34" i="10"/>
  <c r="M35" i="10"/>
  <c r="M37" i="10"/>
  <c r="M38" i="10"/>
  <c r="M40" i="10"/>
  <c r="M41" i="10"/>
  <c r="M42" i="10"/>
  <c r="M45" i="10"/>
  <c r="M46" i="10"/>
  <c r="M47" i="10"/>
  <c r="M48" i="10"/>
  <c r="M50" i="10"/>
  <c r="M51" i="10"/>
  <c r="M52" i="10"/>
  <c r="M53" i="10"/>
  <c r="M55" i="10"/>
  <c r="M56" i="10"/>
  <c r="M57" i="10"/>
  <c r="M59" i="10"/>
  <c r="M60" i="10"/>
  <c r="M62" i="10"/>
  <c r="M63" i="10"/>
  <c r="M64" i="10"/>
  <c r="M66" i="10"/>
  <c r="M67" i="10"/>
  <c r="M68" i="10"/>
  <c r="M71" i="10"/>
  <c r="M72" i="10"/>
  <c r="M73" i="10"/>
  <c r="M74" i="10"/>
  <c r="M75" i="10"/>
  <c r="M76" i="10"/>
  <c r="M78" i="10"/>
  <c r="M79" i="10"/>
  <c r="M80" i="10"/>
  <c r="M81" i="10"/>
  <c r="M82" i="10"/>
  <c r="M83" i="10"/>
  <c r="M84" i="10"/>
  <c r="M85" i="10"/>
  <c r="M87" i="10"/>
  <c r="M88" i="10"/>
  <c r="M89" i="10"/>
  <c r="M90" i="10"/>
  <c r="M91" i="10"/>
  <c r="M94" i="10"/>
  <c r="M95" i="10"/>
  <c r="M96" i="10"/>
  <c r="M97" i="10"/>
  <c r="M98" i="10"/>
  <c r="M99" i="10"/>
  <c r="M100" i="10"/>
  <c r="M101" i="10"/>
  <c r="M103" i="10"/>
  <c r="M104" i="10"/>
  <c r="M105" i="10"/>
  <c r="M106" i="10"/>
  <c r="M107" i="10"/>
  <c r="M108" i="10"/>
  <c r="M110" i="10"/>
  <c r="M111" i="10"/>
  <c r="M112" i="10"/>
  <c r="M113" i="10"/>
  <c r="M115" i="10"/>
  <c r="M117" i="10"/>
  <c r="M118" i="10"/>
  <c r="M119" i="10"/>
  <c r="M121" i="10"/>
  <c r="M122" i="10"/>
  <c r="M123" i="10"/>
  <c r="M124" i="10"/>
  <c r="M125" i="10"/>
  <c r="M126" i="10"/>
  <c r="M127" i="10"/>
  <c r="M128" i="10"/>
  <c r="M129" i="10"/>
  <c r="M130" i="10"/>
  <c r="M132" i="10"/>
  <c r="M133" i="10"/>
  <c r="M134" i="10"/>
  <c r="M135" i="10"/>
  <c r="M136" i="10"/>
  <c r="M137" i="10"/>
  <c r="M139" i="10"/>
  <c r="M140" i="10"/>
  <c r="M143" i="10"/>
  <c r="M144" i="10"/>
  <c r="M145" i="10"/>
  <c r="M146" i="10"/>
  <c r="M148" i="10"/>
  <c r="M149" i="10"/>
  <c r="M150" i="10"/>
  <c r="M151" i="10"/>
  <c r="M152" i="10"/>
  <c r="M153" i="10"/>
  <c r="M156" i="10"/>
  <c r="M157" i="10"/>
  <c r="M158" i="10"/>
  <c r="M160" i="10"/>
  <c r="M161" i="10"/>
  <c r="M162" i="10"/>
  <c r="M164" i="10"/>
  <c r="M165" i="10"/>
  <c r="M167" i="10"/>
  <c r="M168" i="10"/>
  <c r="M171" i="10"/>
  <c r="M172" i="10"/>
  <c r="M174" i="10"/>
  <c r="M175" i="10"/>
  <c r="M176" i="10"/>
  <c r="M177" i="10"/>
  <c r="M178" i="10"/>
  <c r="M179" i="10"/>
  <c r="M180" i="10"/>
  <c r="M181" i="10"/>
  <c r="L5" i="12"/>
  <c r="L6" i="12"/>
  <c r="L7" i="12"/>
  <c r="L8" i="12"/>
  <c r="L9" i="12"/>
  <c r="L10" i="12"/>
  <c r="L12" i="12"/>
  <c r="L13" i="12"/>
  <c r="L14" i="12"/>
  <c r="L15" i="12"/>
  <c r="L17" i="12"/>
  <c r="L18" i="12"/>
  <c r="L19" i="12"/>
  <c r="L20" i="12"/>
  <c r="L21" i="12"/>
  <c r="L23" i="12"/>
  <c r="L25" i="12"/>
  <c r="L26" i="12"/>
  <c r="L27" i="12"/>
  <c r="L28" i="12"/>
  <c r="L30" i="12"/>
  <c r="L31" i="12"/>
  <c r="L32" i="12"/>
  <c r="L33" i="12"/>
  <c r="L34" i="12"/>
  <c r="L35" i="12"/>
  <c r="L39" i="12"/>
  <c r="L40" i="12"/>
  <c r="L41" i="12"/>
  <c r="L42" i="12"/>
  <c r="L43" i="12"/>
  <c r="L44" i="12"/>
  <c r="L46" i="12"/>
  <c r="L47" i="12"/>
  <c r="L48" i="12"/>
  <c r="L49" i="12"/>
  <c r="L50" i="12"/>
  <c r="L51" i="12"/>
  <c r="L53" i="12"/>
  <c r="L54" i="12"/>
  <c r="L55" i="12"/>
  <c r="L56" i="12"/>
  <c r="L58" i="12"/>
  <c r="L59" i="12"/>
  <c r="L62" i="12"/>
  <c r="L63" i="12"/>
  <c r="L64" i="12"/>
  <c r="L66" i="12"/>
  <c r="L67" i="12"/>
  <c r="L69" i="12"/>
  <c r="L70" i="12"/>
  <c r="L71" i="12"/>
  <c r="L73" i="12"/>
  <c r="L74" i="12"/>
  <c r="L75" i="12"/>
  <c r="L76" i="12"/>
  <c r="L78" i="12"/>
  <c r="L79" i="12"/>
  <c r="L82" i="12"/>
  <c r="L83" i="12"/>
  <c r="L84" i="12"/>
  <c r="L85" i="12"/>
  <c r="L86" i="12"/>
  <c r="L87" i="12"/>
  <c r="L88" i="12"/>
  <c r="L89" i="12"/>
  <c r="L91" i="12"/>
  <c r="L92" i="12"/>
  <c r="L93" i="12"/>
  <c r="L94" i="12"/>
  <c r="L95" i="12"/>
  <c r="L96" i="12"/>
  <c r="L97" i="12"/>
  <c r="L98" i="12"/>
  <c r="L100" i="12"/>
  <c r="L101" i="12"/>
  <c r="L102" i="12"/>
  <c r="L103" i="12"/>
  <c r="L104" i="12"/>
  <c r="L105" i="12"/>
  <c r="L106" i="12"/>
  <c r="L109" i="12"/>
  <c r="L110" i="12"/>
  <c r="L112" i="12"/>
  <c r="L113" i="12"/>
  <c r="L114" i="12"/>
  <c r="L115" i="12"/>
  <c r="L116" i="12"/>
  <c r="L117" i="12"/>
  <c r="L118" i="12"/>
  <c r="L119" i="12"/>
  <c r="L120" i="12"/>
  <c r="L121" i="12"/>
  <c r="L122" i="12"/>
  <c r="L124" i="12"/>
  <c r="L125" i="12"/>
  <c r="L126" i="12"/>
  <c r="L127" i="12"/>
  <c r="L130" i="12"/>
  <c r="L131" i="12"/>
  <c r="L133" i="12"/>
  <c r="L134" i="12"/>
  <c r="L135" i="12"/>
  <c r="L137" i="12"/>
  <c r="L138" i="12"/>
  <c r="L139" i="12"/>
  <c r="L140" i="12"/>
  <c r="L142" i="12"/>
  <c r="L143" i="12"/>
  <c r="L145" i="12"/>
  <c r="L146" i="12"/>
  <c r="L149" i="12"/>
  <c r="L150" i="12"/>
  <c r="L151" i="12"/>
  <c r="L152" i="12"/>
  <c r="L154" i="12"/>
  <c r="L155" i="12"/>
  <c r="L156" i="12"/>
  <c r="L157" i="12"/>
  <c r="L158" i="12"/>
  <c r="L160" i="12"/>
  <c r="L161" i="12"/>
  <c r="L163" i="12"/>
  <c r="L164" i="12"/>
  <c r="L165" i="12"/>
  <c r="L167" i="12"/>
  <c r="L168" i="12"/>
  <c r="L169" i="12"/>
  <c r="L170" i="12"/>
  <c r="L172" i="12"/>
  <c r="L174" i="12"/>
  <c r="L175" i="12"/>
  <c r="M5" i="12"/>
  <c r="M6" i="12"/>
  <c r="M7" i="12"/>
  <c r="M8" i="12"/>
  <c r="M9" i="12"/>
  <c r="M10" i="12"/>
  <c r="M12" i="12"/>
  <c r="M13" i="12"/>
  <c r="M14" i="12"/>
  <c r="M15" i="12"/>
  <c r="M17" i="12"/>
  <c r="M18" i="12"/>
  <c r="M19" i="12"/>
  <c r="M20" i="12"/>
  <c r="M21" i="12"/>
  <c r="M23" i="12"/>
  <c r="M25" i="12"/>
  <c r="M26" i="12"/>
  <c r="M27" i="12"/>
  <c r="M28" i="12"/>
  <c r="M30" i="12"/>
  <c r="M31" i="12"/>
  <c r="M32" i="12"/>
  <c r="M33" i="12"/>
  <c r="M34" i="12"/>
  <c r="M35" i="12"/>
  <c r="M39" i="12"/>
  <c r="M40" i="12"/>
  <c r="M41" i="12"/>
  <c r="M42" i="12"/>
  <c r="M43" i="12"/>
  <c r="M44" i="12"/>
  <c r="M46" i="12"/>
  <c r="M47" i="12"/>
  <c r="M48" i="12"/>
  <c r="M49" i="12"/>
  <c r="M50" i="12"/>
  <c r="M51" i="12"/>
  <c r="M53" i="12"/>
  <c r="M54" i="12"/>
  <c r="M55" i="12"/>
  <c r="M56" i="12"/>
  <c r="M58" i="12"/>
  <c r="M59" i="12"/>
  <c r="M62" i="12"/>
  <c r="M63" i="12"/>
  <c r="M64" i="12"/>
  <c r="M66" i="12"/>
  <c r="M67" i="12"/>
  <c r="M69" i="12"/>
  <c r="M70" i="12"/>
  <c r="M71" i="12"/>
  <c r="M73" i="12"/>
  <c r="M74" i="12"/>
  <c r="M75" i="12"/>
  <c r="M76" i="12"/>
  <c r="M78" i="12"/>
  <c r="M79" i="12"/>
  <c r="M82" i="12"/>
  <c r="M83" i="12"/>
  <c r="M84" i="12"/>
  <c r="M85" i="12"/>
  <c r="M86" i="12"/>
  <c r="M87" i="12"/>
  <c r="M88" i="12"/>
  <c r="M89" i="12"/>
  <c r="M91" i="12"/>
  <c r="M92" i="12"/>
  <c r="M93" i="12"/>
  <c r="M94" i="12"/>
  <c r="M95" i="12"/>
  <c r="M96" i="12"/>
  <c r="M97" i="12"/>
  <c r="M98" i="12"/>
  <c r="M100" i="12"/>
  <c r="M101" i="12"/>
  <c r="M102" i="12"/>
  <c r="M103" i="12"/>
  <c r="M104" i="12"/>
  <c r="M105" i="12"/>
  <c r="M106" i="12"/>
  <c r="M109" i="12"/>
  <c r="M110" i="12"/>
  <c r="M112" i="12"/>
  <c r="M113" i="12"/>
  <c r="M114" i="12"/>
  <c r="M115" i="12"/>
  <c r="M116" i="12"/>
  <c r="M117" i="12"/>
  <c r="M118" i="12"/>
  <c r="M119" i="12"/>
  <c r="M120" i="12"/>
  <c r="M121" i="12"/>
  <c r="M122" i="12"/>
  <c r="M124" i="12"/>
  <c r="M125" i="12"/>
  <c r="M126" i="12"/>
  <c r="M127" i="12"/>
  <c r="M130" i="12"/>
  <c r="M131" i="12"/>
  <c r="M133" i="12"/>
  <c r="M134" i="12"/>
  <c r="M135" i="12"/>
  <c r="M137" i="12"/>
  <c r="M138" i="12"/>
  <c r="M139" i="12"/>
  <c r="M140" i="12"/>
  <c r="M142" i="12"/>
  <c r="M143" i="12"/>
  <c r="M145" i="12"/>
  <c r="M146" i="12"/>
  <c r="M149" i="12"/>
  <c r="M150" i="12"/>
  <c r="M151" i="12"/>
  <c r="M152" i="12"/>
  <c r="M154" i="12"/>
  <c r="M155" i="12"/>
  <c r="M156" i="12"/>
  <c r="M157" i="12"/>
  <c r="M158" i="12"/>
  <c r="M160" i="12"/>
  <c r="M161" i="12"/>
  <c r="M163" i="12"/>
  <c r="M164" i="12"/>
  <c r="M165" i="12"/>
  <c r="M167" i="12"/>
  <c r="M168" i="12"/>
  <c r="M169" i="12"/>
  <c r="M170" i="12"/>
  <c r="M172" i="12"/>
  <c r="M174" i="12"/>
  <c r="M175" i="12"/>
  <c r="R3" i="12" l="1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R3" i="2"/>
  <c r="R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L5" i="13"/>
  <c r="L6" i="13"/>
  <c r="L7" i="13"/>
  <c r="L8" i="13"/>
  <c r="L10" i="13"/>
  <c r="L11" i="13"/>
  <c r="L12" i="13"/>
  <c r="L14" i="13"/>
  <c r="L15" i="13"/>
  <c r="L17" i="13"/>
  <c r="L18" i="13"/>
  <c r="L20" i="13"/>
  <c r="L21" i="13"/>
  <c r="L22" i="13"/>
  <c r="L23" i="13"/>
  <c r="L27" i="13"/>
  <c r="L28" i="13"/>
  <c r="L29" i="13"/>
  <c r="L30" i="13"/>
  <c r="L31" i="13"/>
  <c r="L32" i="13"/>
  <c r="L33" i="13"/>
  <c r="L35" i="13"/>
  <c r="L36" i="13"/>
  <c r="L38" i="13"/>
  <c r="L39" i="13"/>
  <c r="L41" i="13"/>
  <c r="L42" i="13"/>
  <c r="L44" i="13"/>
  <c r="L45" i="13"/>
  <c r="L46" i="13"/>
  <c r="L49" i="13"/>
  <c r="L50" i="13"/>
  <c r="L51" i="13"/>
  <c r="L52" i="13"/>
  <c r="L53" i="13"/>
  <c r="L55" i="13"/>
  <c r="L56" i="13"/>
  <c r="L57" i="13"/>
  <c r="L58" i="13"/>
  <c r="L60" i="13"/>
  <c r="L61" i="13"/>
  <c r="L62" i="13"/>
  <c r="L63" i="13"/>
  <c r="L64" i="13"/>
  <c r="L66" i="13"/>
  <c r="L67" i="13"/>
  <c r="L68" i="13"/>
  <c r="L69" i="13"/>
  <c r="L70" i="13"/>
  <c r="L73" i="13"/>
  <c r="L74" i="13"/>
  <c r="L75" i="13"/>
  <c r="L76" i="13"/>
  <c r="L77" i="13"/>
  <c r="L78" i="13"/>
  <c r="L79" i="13"/>
  <c r="L81" i="13"/>
  <c r="L82" i="13"/>
  <c r="L84" i="13"/>
  <c r="L85" i="13"/>
  <c r="L86" i="13"/>
  <c r="L87" i="13"/>
  <c r="L88" i="13"/>
  <c r="L89" i="13"/>
  <c r="L90" i="13"/>
  <c r="L92" i="13"/>
  <c r="L93" i="13"/>
  <c r="L96" i="13"/>
  <c r="L97" i="13"/>
  <c r="L99" i="13"/>
  <c r="L100" i="13"/>
  <c r="L101" i="13"/>
  <c r="M5" i="13"/>
  <c r="M6" i="13"/>
  <c r="M7" i="13"/>
  <c r="M8" i="13"/>
  <c r="M10" i="13"/>
  <c r="M11" i="13"/>
  <c r="M12" i="13"/>
  <c r="M14" i="13"/>
  <c r="M15" i="13"/>
  <c r="M17" i="13"/>
  <c r="M18" i="13"/>
  <c r="M20" i="13"/>
  <c r="M21" i="13"/>
  <c r="M22" i="13"/>
  <c r="M23" i="13"/>
  <c r="M27" i="13"/>
  <c r="M28" i="13"/>
  <c r="M29" i="13"/>
  <c r="M30" i="13"/>
  <c r="M31" i="13"/>
  <c r="M32" i="13"/>
  <c r="M33" i="13"/>
  <c r="M35" i="13"/>
  <c r="M36" i="13"/>
  <c r="M38" i="13"/>
  <c r="M39" i="13"/>
  <c r="M41" i="13"/>
  <c r="M42" i="13"/>
  <c r="M44" i="13"/>
  <c r="M45" i="13"/>
  <c r="M46" i="13"/>
  <c r="M49" i="13"/>
  <c r="M50" i="13"/>
  <c r="M51" i="13"/>
  <c r="M52" i="13"/>
  <c r="M53" i="13"/>
  <c r="M55" i="13"/>
  <c r="M56" i="13"/>
  <c r="M57" i="13"/>
  <c r="M58" i="13"/>
  <c r="M60" i="13"/>
  <c r="M61" i="13"/>
  <c r="M62" i="13"/>
  <c r="M63" i="13"/>
  <c r="M64" i="13"/>
  <c r="M66" i="13"/>
  <c r="M67" i="13"/>
  <c r="M68" i="13"/>
  <c r="M69" i="13"/>
  <c r="M70" i="13"/>
  <c r="M73" i="13"/>
  <c r="M74" i="13"/>
  <c r="M75" i="13"/>
  <c r="M76" i="13"/>
  <c r="M77" i="13"/>
  <c r="M78" i="13"/>
  <c r="M79" i="13"/>
  <c r="M81" i="13"/>
  <c r="M82" i="13"/>
  <c r="M85" i="13"/>
  <c r="M86" i="13"/>
  <c r="M87" i="13"/>
  <c r="M88" i="13"/>
  <c r="M89" i="13"/>
  <c r="M90" i="13"/>
  <c r="M92" i="13"/>
  <c r="M93" i="13"/>
  <c r="M96" i="13"/>
  <c r="M97" i="13"/>
  <c r="M99" i="13"/>
  <c r="M100" i="13"/>
  <c r="M101" i="13"/>
  <c r="M5" i="9"/>
  <c r="M6" i="9"/>
  <c r="M7" i="9"/>
  <c r="M8" i="9"/>
  <c r="M9" i="9"/>
  <c r="M10" i="9"/>
  <c r="M11" i="9"/>
  <c r="M12" i="9"/>
  <c r="M13" i="9"/>
  <c r="M14" i="9"/>
  <c r="M15" i="9"/>
  <c r="M17" i="9"/>
  <c r="M18" i="9"/>
  <c r="M19" i="9"/>
  <c r="M20" i="9"/>
  <c r="M21" i="9"/>
  <c r="M22" i="9"/>
  <c r="M23" i="9"/>
  <c r="M24" i="9"/>
  <c r="M25" i="9"/>
  <c r="M26" i="9"/>
  <c r="M27" i="9"/>
  <c r="M28" i="9"/>
  <c r="M30" i="9"/>
  <c r="M31" i="9"/>
  <c r="M33" i="9"/>
  <c r="M34" i="9"/>
  <c r="M35" i="9"/>
  <c r="M37" i="9"/>
  <c r="M38" i="9"/>
  <c r="M40" i="9"/>
  <c r="M41" i="9"/>
  <c r="M42" i="9"/>
  <c r="M43" i="9"/>
  <c r="M44" i="9"/>
  <c r="M45" i="9"/>
  <c r="M47" i="9"/>
  <c r="M48" i="9"/>
  <c r="M49" i="9"/>
  <c r="M50" i="9"/>
  <c r="M51" i="9"/>
  <c r="M52" i="9"/>
  <c r="M53" i="9"/>
  <c r="M54" i="9"/>
  <c r="M56" i="9"/>
  <c r="M57" i="9"/>
  <c r="M58" i="9"/>
  <c r="M59" i="9"/>
  <c r="M61" i="9"/>
  <c r="M62" i="9"/>
  <c r="M64" i="9"/>
  <c r="M65" i="9"/>
  <c r="M68" i="9"/>
  <c r="M69" i="9"/>
  <c r="M71" i="9"/>
  <c r="M72" i="9"/>
  <c r="M73" i="9"/>
  <c r="M75" i="9"/>
  <c r="M76" i="9"/>
  <c r="M77" i="9"/>
  <c r="M78" i="9"/>
  <c r="M79" i="9"/>
  <c r="M80" i="9"/>
  <c r="M81" i="9"/>
  <c r="M82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4" i="9"/>
  <c r="M115" i="9"/>
  <c r="M116" i="9"/>
  <c r="M117" i="9"/>
  <c r="M119" i="9"/>
  <c r="M120" i="9"/>
  <c r="M121" i="9"/>
  <c r="M122" i="9"/>
  <c r="M124" i="9"/>
  <c r="M125" i="9"/>
  <c r="M127" i="9"/>
  <c r="M128" i="9"/>
  <c r="M129" i="9"/>
  <c r="M130" i="9"/>
  <c r="M131" i="9"/>
  <c r="M133" i="9"/>
  <c r="M134" i="9"/>
  <c r="M135" i="9"/>
  <c r="M136" i="9"/>
  <c r="M137" i="9"/>
  <c r="M138" i="9"/>
  <c r="M139" i="9"/>
  <c r="M141" i="9"/>
  <c r="M142" i="9"/>
  <c r="M143" i="9"/>
  <c r="M145" i="9"/>
  <c r="M146" i="9"/>
  <c r="M147" i="9"/>
  <c r="M148" i="9"/>
  <c r="M150" i="9"/>
  <c r="M151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4" i="9"/>
  <c r="M205" i="9"/>
  <c r="M206" i="9"/>
  <c r="M207" i="9"/>
  <c r="M208" i="9"/>
  <c r="M209" i="9"/>
  <c r="M210" i="9"/>
  <c r="M211" i="9"/>
  <c r="M212" i="9"/>
  <c r="M213" i="9"/>
  <c r="M216" i="9"/>
  <c r="M217" i="9"/>
  <c r="M218" i="9"/>
  <c r="M219" i="9"/>
  <c r="M221" i="9"/>
  <c r="M222" i="9"/>
  <c r="M224" i="9"/>
  <c r="M225" i="9"/>
  <c r="M226" i="9"/>
  <c r="M227" i="9"/>
  <c r="M229" i="9"/>
  <c r="M230" i="9"/>
  <c r="M231" i="9"/>
  <c r="M232" i="9"/>
  <c r="M235" i="9"/>
  <c r="M236" i="9"/>
  <c r="M237" i="9"/>
  <c r="M238" i="9"/>
  <c r="M239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6" i="9"/>
  <c r="M277" i="9"/>
  <c r="M278" i="9"/>
  <c r="M279" i="9"/>
  <c r="M280" i="9"/>
  <c r="M281" i="9"/>
  <c r="M282" i="9"/>
  <c r="M283" i="9"/>
  <c r="M284" i="9"/>
  <c r="M286" i="9"/>
  <c r="M287" i="9"/>
  <c r="M288" i="9"/>
  <c r="M289" i="9"/>
  <c r="M290" i="9"/>
  <c r="M292" i="9"/>
  <c r="M293" i="9"/>
  <c r="M294" i="9"/>
  <c r="M295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3" i="9"/>
  <c r="M314" i="9"/>
  <c r="M315" i="9"/>
  <c r="M316" i="9"/>
  <c r="M317" i="9"/>
  <c r="M319" i="9"/>
  <c r="M320" i="9"/>
  <c r="M321" i="9"/>
  <c r="M322" i="9"/>
  <c r="M323" i="9"/>
  <c r="M324" i="9"/>
  <c r="M325" i="9"/>
  <c r="M326" i="9"/>
  <c r="M327" i="9"/>
  <c r="M328" i="9"/>
  <c r="M330" i="9"/>
  <c r="M331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0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6" i="9"/>
  <c r="M477" i="9"/>
  <c r="M478" i="9"/>
  <c r="M480" i="9"/>
  <c r="M481" i="9"/>
  <c r="M482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5" i="9"/>
  <c r="M506" i="9"/>
  <c r="M507" i="9"/>
  <c r="M508" i="9"/>
  <c r="M509" i="9"/>
  <c r="M510" i="9"/>
  <c r="M511" i="9"/>
  <c r="M512" i="9"/>
  <c r="M513" i="9"/>
  <c r="M514" i="9"/>
  <c r="M515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2" i="9"/>
  <c r="M563" i="9"/>
  <c r="M564" i="9"/>
  <c r="M565" i="9"/>
  <c r="M566" i="9"/>
  <c r="M567" i="9"/>
  <c r="M568" i="9"/>
  <c r="M569" i="9"/>
  <c r="M570" i="9"/>
  <c r="M571" i="9"/>
  <c r="M572" i="9"/>
  <c r="M574" i="9"/>
  <c r="M575" i="9"/>
  <c r="M576" i="9"/>
  <c r="M577" i="9"/>
  <c r="M578" i="9"/>
  <c r="M581" i="9"/>
  <c r="M582" i="9"/>
  <c r="M583" i="9"/>
  <c r="M584" i="9"/>
  <c r="M585" i="9"/>
  <c r="M586" i="9"/>
  <c r="M587" i="9"/>
  <c r="M588" i="9"/>
  <c r="M589" i="9"/>
  <c r="M590" i="9"/>
  <c r="M591" i="9"/>
  <c r="M592" i="9"/>
  <c r="M594" i="9"/>
  <c r="M595" i="9"/>
  <c r="M596" i="9"/>
  <c r="M597" i="9"/>
  <c r="M598" i="9"/>
  <c r="M599" i="9"/>
  <c r="M600" i="9"/>
  <c r="M601" i="9"/>
  <c r="M602" i="9"/>
  <c r="M603" i="9"/>
  <c r="M604" i="9"/>
  <c r="M606" i="9"/>
  <c r="M607" i="9"/>
  <c r="M608" i="9"/>
  <c r="M609" i="9"/>
  <c r="M610" i="9"/>
  <c r="M612" i="9"/>
  <c r="M613" i="9"/>
  <c r="M614" i="9"/>
  <c r="M615" i="9"/>
  <c r="M616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1" i="9"/>
  <c r="M632" i="9"/>
  <c r="M633" i="9"/>
  <c r="M636" i="9"/>
  <c r="M637" i="9"/>
  <c r="M639" i="9"/>
  <c r="M640" i="9"/>
  <c r="M642" i="9"/>
  <c r="M643" i="9"/>
  <c r="M644" i="9"/>
  <c r="M645" i="9"/>
  <c r="M648" i="9"/>
  <c r="M649" i="9"/>
  <c r="M651" i="9"/>
  <c r="M652" i="9"/>
  <c r="M653" i="9"/>
  <c r="M654" i="9"/>
  <c r="M655" i="9"/>
  <c r="M656" i="9"/>
  <c r="M658" i="9"/>
  <c r="M659" i="9"/>
  <c r="M660" i="9"/>
  <c r="M661" i="9"/>
  <c r="M662" i="9"/>
  <c r="M663" i="9"/>
  <c r="M665" i="9"/>
  <c r="M666" i="9"/>
  <c r="M667" i="9"/>
  <c r="M668" i="9"/>
  <c r="M669" i="9"/>
  <c r="M670" i="9"/>
  <c r="M672" i="9"/>
  <c r="M673" i="9"/>
  <c r="M674" i="9"/>
  <c r="M675" i="9"/>
  <c r="M676" i="9"/>
  <c r="M677" i="9"/>
  <c r="M678" i="9"/>
  <c r="M680" i="9"/>
  <c r="M681" i="9"/>
  <c r="M682" i="9"/>
  <c r="M683" i="9"/>
  <c r="M684" i="9"/>
  <c r="M685" i="9"/>
  <c r="M686" i="9"/>
  <c r="M687" i="9"/>
  <c r="M688" i="9"/>
  <c r="M689" i="9"/>
  <c r="M692" i="9"/>
  <c r="M693" i="9"/>
  <c r="M694" i="9"/>
  <c r="M695" i="9"/>
  <c r="M696" i="9"/>
  <c r="M697" i="9"/>
  <c r="M698" i="9"/>
  <c r="M699" i="9"/>
  <c r="M700" i="9"/>
  <c r="M702" i="9"/>
  <c r="M703" i="9"/>
  <c r="M705" i="9"/>
  <c r="M706" i="9"/>
  <c r="M707" i="9"/>
  <c r="M708" i="9"/>
  <c r="M710" i="9"/>
  <c r="M711" i="9"/>
  <c r="M712" i="9"/>
  <c r="M713" i="9"/>
  <c r="M714" i="9"/>
  <c r="M715" i="9"/>
  <c r="M716" i="9"/>
  <c r="M717" i="9"/>
  <c r="M718" i="9"/>
  <c r="M719" i="9"/>
  <c r="M720" i="9"/>
  <c r="M722" i="9"/>
  <c r="M723" i="9"/>
  <c r="M724" i="9"/>
  <c r="M725" i="9"/>
  <c r="M726" i="9"/>
  <c r="M727" i="9"/>
  <c r="N5" i="9"/>
  <c r="N6" i="9"/>
  <c r="N7" i="9"/>
  <c r="N8" i="9"/>
  <c r="N9" i="9"/>
  <c r="N10" i="9"/>
  <c r="N11" i="9"/>
  <c r="N12" i="9"/>
  <c r="N13" i="9"/>
  <c r="N14" i="9"/>
  <c r="N15" i="9"/>
  <c r="N17" i="9"/>
  <c r="N18" i="9"/>
  <c r="N19" i="9"/>
  <c r="N20" i="9"/>
  <c r="N21" i="9"/>
  <c r="N22" i="9"/>
  <c r="N23" i="9"/>
  <c r="N24" i="9"/>
  <c r="N25" i="9"/>
  <c r="N26" i="9"/>
  <c r="N27" i="9"/>
  <c r="N28" i="9"/>
  <c r="N30" i="9"/>
  <c r="N31" i="9"/>
  <c r="N33" i="9"/>
  <c r="N34" i="9"/>
  <c r="N35" i="9"/>
  <c r="N37" i="9"/>
  <c r="N38" i="9"/>
  <c r="N40" i="9"/>
  <c r="N41" i="9"/>
  <c r="N42" i="9"/>
  <c r="N43" i="9"/>
  <c r="N44" i="9"/>
  <c r="N45" i="9"/>
  <c r="N47" i="9"/>
  <c r="N48" i="9"/>
  <c r="N49" i="9"/>
  <c r="N50" i="9"/>
  <c r="N51" i="9"/>
  <c r="N52" i="9"/>
  <c r="N53" i="9"/>
  <c r="N54" i="9"/>
  <c r="N56" i="9"/>
  <c r="N57" i="9"/>
  <c r="N58" i="9"/>
  <c r="N59" i="9"/>
  <c r="N61" i="9"/>
  <c r="N62" i="9"/>
  <c r="N64" i="9"/>
  <c r="N65" i="9"/>
  <c r="N68" i="9"/>
  <c r="N69" i="9"/>
  <c r="N71" i="9"/>
  <c r="N72" i="9"/>
  <c r="N73" i="9"/>
  <c r="N75" i="9"/>
  <c r="N76" i="9"/>
  <c r="N77" i="9"/>
  <c r="N78" i="9"/>
  <c r="N79" i="9"/>
  <c r="N80" i="9"/>
  <c r="N81" i="9"/>
  <c r="N82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4" i="9"/>
  <c r="N115" i="9"/>
  <c r="N116" i="9"/>
  <c r="N117" i="9"/>
  <c r="N119" i="9"/>
  <c r="N120" i="9"/>
  <c r="N121" i="9"/>
  <c r="N122" i="9"/>
  <c r="N124" i="9"/>
  <c r="N125" i="9"/>
  <c r="N127" i="9"/>
  <c r="N128" i="9"/>
  <c r="N129" i="9"/>
  <c r="N130" i="9"/>
  <c r="N131" i="9"/>
  <c r="N133" i="9"/>
  <c r="N134" i="9"/>
  <c r="N135" i="9"/>
  <c r="N136" i="9"/>
  <c r="N137" i="9"/>
  <c r="N138" i="9"/>
  <c r="N139" i="9"/>
  <c r="N141" i="9"/>
  <c r="N142" i="9"/>
  <c r="N143" i="9"/>
  <c r="N145" i="9"/>
  <c r="N146" i="9"/>
  <c r="N147" i="9"/>
  <c r="N148" i="9"/>
  <c r="N150" i="9"/>
  <c r="N151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4" i="9"/>
  <c r="N205" i="9"/>
  <c r="N206" i="9"/>
  <c r="N207" i="9"/>
  <c r="N208" i="9"/>
  <c r="N209" i="9"/>
  <c r="N210" i="9"/>
  <c r="N211" i="9"/>
  <c r="N212" i="9"/>
  <c r="N213" i="9"/>
  <c r="N216" i="9"/>
  <c r="N217" i="9"/>
  <c r="N218" i="9"/>
  <c r="N219" i="9"/>
  <c r="N221" i="9"/>
  <c r="N222" i="9"/>
  <c r="N224" i="9"/>
  <c r="N225" i="9"/>
  <c r="N226" i="9"/>
  <c r="N227" i="9"/>
  <c r="N229" i="9"/>
  <c r="N230" i="9"/>
  <c r="N231" i="9"/>
  <c r="N232" i="9"/>
  <c r="N235" i="9"/>
  <c r="N236" i="9"/>
  <c r="N237" i="9"/>
  <c r="N238" i="9"/>
  <c r="N239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6" i="9"/>
  <c r="N277" i="9"/>
  <c r="N278" i="9"/>
  <c r="N279" i="9"/>
  <c r="N280" i="9"/>
  <c r="N281" i="9"/>
  <c r="N282" i="9"/>
  <c r="N283" i="9"/>
  <c r="N284" i="9"/>
  <c r="N286" i="9"/>
  <c r="N287" i="9"/>
  <c r="N288" i="9"/>
  <c r="N289" i="9"/>
  <c r="N290" i="9"/>
  <c r="N292" i="9"/>
  <c r="N293" i="9"/>
  <c r="N294" i="9"/>
  <c r="N295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3" i="9"/>
  <c r="N314" i="9"/>
  <c r="N315" i="9"/>
  <c r="N316" i="9"/>
  <c r="N317" i="9"/>
  <c r="N319" i="9"/>
  <c r="N320" i="9"/>
  <c r="N321" i="9"/>
  <c r="N322" i="9"/>
  <c r="N323" i="9"/>
  <c r="N324" i="9"/>
  <c r="N325" i="9"/>
  <c r="N326" i="9"/>
  <c r="N327" i="9"/>
  <c r="N328" i="9"/>
  <c r="N330" i="9"/>
  <c r="N331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6" i="9"/>
  <c r="N477" i="9"/>
  <c r="N478" i="9"/>
  <c r="N480" i="9"/>
  <c r="N481" i="9"/>
  <c r="N482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6" i="9"/>
  <c r="N507" i="9"/>
  <c r="N508" i="9"/>
  <c r="N509" i="9"/>
  <c r="N510" i="9"/>
  <c r="N511" i="9"/>
  <c r="N512" i="9"/>
  <c r="N513" i="9"/>
  <c r="N514" i="9"/>
  <c r="N515" i="9"/>
  <c r="N517" i="9"/>
  <c r="N518" i="9"/>
  <c r="N519" i="9"/>
  <c r="N520" i="9"/>
  <c r="N521" i="9"/>
  <c r="N522" i="9"/>
  <c r="N523" i="9"/>
  <c r="N524" i="9"/>
  <c r="N525" i="9"/>
  <c r="N527" i="9"/>
  <c r="N528" i="9"/>
  <c r="N529" i="9"/>
  <c r="N530" i="9"/>
  <c r="N531" i="9"/>
  <c r="N532" i="9"/>
  <c r="N533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2" i="9"/>
  <c r="N563" i="9"/>
  <c r="N564" i="9"/>
  <c r="N565" i="9"/>
  <c r="N566" i="9"/>
  <c r="N567" i="9"/>
  <c r="N568" i="9"/>
  <c r="N569" i="9"/>
  <c r="N570" i="9"/>
  <c r="N571" i="9"/>
  <c r="N572" i="9"/>
  <c r="N574" i="9"/>
  <c r="N575" i="9"/>
  <c r="N576" i="9"/>
  <c r="N577" i="9"/>
  <c r="N578" i="9"/>
  <c r="N581" i="9"/>
  <c r="N582" i="9"/>
  <c r="N583" i="9"/>
  <c r="N584" i="9"/>
  <c r="N585" i="9"/>
  <c r="N586" i="9"/>
  <c r="N587" i="9"/>
  <c r="N588" i="9"/>
  <c r="N589" i="9"/>
  <c r="N590" i="9"/>
  <c r="N591" i="9"/>
  <c r="N592" i="9"/>
  <c r="N594" i="9"/>
  <c r="N595" i="9"/>
  <c r="N596" i="9"/>
  <c r="N597" i="9"/>
  <c r="N598" i="9"/>
  <c r="N599" i="9"/>
  <c r="N600" i="9"/>
  <c r="N601" i="9"/>
  <c r="N602" i="9"/>
  <c r="N603" i="9"/>
  <c r="N604" i="9"/>
  <c r="N606" i="9"/>
  <c r="N607" i="9"/>
  <c r="N608" i="9"/>
  <c r="N609" i="9"/>
  <c r="N610" i="9"/>
  <c r="N612" i="9"/>
  <c r="N613" i="9"/>
  <c r="N614" i="9"/>
  <c r="N615" i="9"/>
  <c r="N616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1" i="9"/>
  <c r="N632" i="9"/>
  <c r="N633" i="9"/>
  <c r="N636" i="9"/>
  <c r="N637" i="9"/>
  <c r="N639" i="9"/>
  <c r="N640" i="9"/>
  <c r="N642" i="9"/>
  <c r="N643" i="9"/>
  <c r="N644" i="9"/>
  <c r="N645" i="9"/>
  <c r="N648" i="9"/>
  <c r="N649" i="9"/>
  <c r="N651" i="9"/>
  <c r="N652" i="9"/>
  <c r="N653" i="9"/>
  <c r="N654" i="9"/>
  <c r="N655" i="9"/>
  <c r="N656" i="9"/>
  <c r="N658" i="9"/>
  <c r="N659" i="9"/>
  <c r="N660" i="9"/>
  <c r="N661" i="9"/>
  <c r="N662" i="9"/>
  <c r="N663" i="9"/>
  <c r="N665" i="9"/>
  <c r="N666" i="9"/>
  <c r="N667" i="9"/>
  <c r="N668" i="9"/>
  <c r="N669" i="9"/>
  <c r="N670" i="9"/>
  <c r="N672" i="9"/>
  <c r="N673" i="9"/>
  <c r="N674" i="9"/>
  <c r="N675" i="9"/>
  <c r="N676" i="9"/>
  <c r="N677" i="9"/>
  <c r="N678" i="9"/>
  <c r="N680" i="9"/>
  <c r="N681" i="9"/>
  <c r="N682" i="9"/>
  <c r="N683" i="9"/>
  <c r="N684" i="9"/>
  <c r="N685" i="9"/>
  <c r="N686" i="9"/>
  <c r="N687" i="9"/>
  <c r="N688" i="9"/>
  <c r="N689" i="9"/>
  <c r="N692" i="9"/>
  <c r="N693" i="9"/>
  <c r="N694" i="9"/>
  <c r="N695" i="9"/>
  <c r="N696" i="9"/>
  <c r="N697" i="9"/>
  <c r="N698" i="9"/>
  <c r="N699" i="9"/>
  <c r="N700" i="9"/>
  <c r="N702" i="9"/>
  <c r="N703" i="9"/>
  <c r="N705" i="9"/>
  <c r="N706" i="9"/>
  <c r="N707" i="9"/>
  <c r="N708" i="9"/>
  <c r="N710" i="9"/>
  <c r="N711" i="9"/>
  <c r="N712" i="9"/>
  <c r="N713" i="9"/>
  <c r="N714" i="9"/>
  <c r="N715" i="9"/>
  <c r="N716" i="9"/>
  <c r="N717" i="9"/>
  <c r="N718" i="9"/>
  <c r="N719" i="9"/>
  <c r="N720" i="9"/>
  <c r="N722" i="9"/>
  <c r="N723" i="9"/>
  <c r="N724" i="9"/>
  <c r="N725" i="9"/>
  <c r="N726" i="9"/>
  <c r="N727" i="9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Q5" i="9"/>
  <c r="Q4" i="9"/>
  <c r="Q3" i="9"/>
  <c r="Q2" i="9"/>
  <c r="R3" i="13"/>
  <c r="R4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3" i="13"/>
  <c r="R24" i="13"/>
  <c r="R2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P2" i="13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" i="2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" i="10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" i="12"/>
  <c r="Q3" i="13" l="1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" i="13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" i="9"/>
</calcChain>
</file>

<file path=xl/sharedStrings.xml><?xml version="1.0" encoding="utf-8"?>
<sst xmlns="http://schemas.openxmlformats.org/spreadsheetml/2006/main" count="8495" uniqueCount="2297">
  <si>
    <t>Material</t>
  </si>
  <si>
    <t>Vendor</t>
  </si>
  <si>
    <t>Loading area</t>
  </si>
  <si>
    <t>Weigh group</t>
  </si>
  <si>
    <t>Weighing log</t>
  </si>
  <si>
    <t>Comment 4</t>
  </si>
  <si>
    <t>Weighing in date</t>
  </si>
  <si>
    <t>Time weighing in</t>
  </si>
  <si>
    <t>Time weighing out</t>
  </si>
  <si>
    <t>Total Time</t>
  </si>
  <si>
    <t>Entry Hours</t>
  </si>
  <si>
    <t>Daily Hours</t>
  </si>
  <si>
    <t>Daily Total Chip Trucks by Hour</t>
  </si>
  <si>
    <t>Daily Average Number of Chip Trucks by Hour</t>
  </si>
  <si>
    <t>Daily Average Time of Weighing Chip Trucks by Hour</t>
  </si>
  <si>
    <t>Daily Average Time of Chip Trucks by Hour</t>
  </si>
  <si>
    <t>Overall Result</t>
  </si>
  <si>
    <t>812274</t>
  </si>
  <si>
    <t>Chips         dec.wood    -    - d</t>
  </si>
  <si>
    <t>Result</t>
  </si>
  <si>
    <t>126249</t>
  </si>
  <si>
    <t>Kepley-Frank Hardwood Co.</t>
  </si>
  <si>
    <t>Wood Delivery</t>
  </si>
  <si>
    <t>11288587</t>
  </si>
  <si>
    <t>Poplar</t>
  </si>
  <si>
    <t>02.05.2022</t>
  </si>
  <si>
    <t>5:40:16</t>
  </si>
  <si>
    <t>4:16:36</t>
  </si>
  <si>
    <t>11288946</t>
  </si>
  <si>
    <t>7:16:05</t>
  </si>
  <si>
    <t>7:34:33</t>
  </si>
  <si>
    <t>133766</t>
  </si>
  <si>
    <t>Fulp's Lumber Company</t>
  </si>
  <si>
    <t>11290053</t>
  </si>
  <si>
    <t>13:57:18</t>
  </si>
  <si>
    <t>14:31:56</t>
  </si>
  <si>
    <t>133775</t>
  </si>
  <si>
    <t>High Rock Forest Products</t>
  </si>
  <si>
    <t>11289718</t>
  </si>
  <si>
    <t>Mixed Hardwood</t>
  </si>
  <si>
    <t>10:51:16</t>
  </si>
  <si>
    <t>11:47:02</t>
  </si>
  <si>
    <t>133776</t>
  </si>
  <si>
    <t>Hull Brothers Lumber Co.</t>
  </si>
  <si>
    <t>11289924</t>
  </si>
  <si>
    <t>12:39:35</t>
  </si>
  <si>
    <t>13:16:40</t>
  </si>
  <si>
    <t>133777</t>
  </si>
  <si>
    <t>Woodgrain Inc</t>
  </si>
  <si>
    <t>11289271</t>
  </si>
  <si>
    <t>8:32:41</t>
  </si>
  <si>
    <t>9:06:58</t>
  </si>
  <si>
    <t>11289884</t>
  </si>
  <si>
    <t>12:09:10</t>
  </si>
  <si>
    <t>12:46:21</t>
  </si>
  <si>
    <t>11290129</t>
  </si>
  <si>
    <t>16:44:04</t>
  </si>
  <si>
    <t>17:10:55</t>
  </si>
  <si>
    <t>135245</t>
  </si>
  <si>
    <t>Poplar Ridge Lumber Co Inc</t>
  </si>
  <si>
    <t>11289354</t>
  </si>
  <si>
    <t>8:54:20</t>
  </si>
  <si>
    <t>9:35:20</t>
  </si>
  <si>
    <t>812275</t>
  </si>
  <si>
    <t>Sawdust       dec.wood    -    - -</t>
  </si>
  <si>
    <t>122491</t>
  </si>
  <si>
    <t>McDowell Lumber and Pallet Co.</t>
  </si>
  <si>
    <t>11289263</t>
  </si>
  <si>
    <t>8:27:59</t>
  </si>
  <si>
    <t>8:48:10</t>
  </si>
  <si>
    <t>11289716</t>
  </si>
  <si>
    <t>10:49:27</t>
  </si>
  <si>
    <t>11:31:41</t>
  </si>
  <si>
    <t>11288977</t>
  </si>
  <si>
    <t>7:24:19</t>
  </si>
  <si>
    <t>7:51:53</t>
  </si>
  <si>
    <t>11289313</t>
  </si>
  <si>
    <t>8:47:37</t>
  </si>
  <si>
    <t>9:16:50</t>
  </si>
  <si>
    <t>11289641</t>
  </si>
  <si>
    <t>10:18:53</t>
  </si>
  <si>
    <t>11:08:17</t>
  </si>
  <si>
    <t>11289891</t>
  </si>
  <si>
    <t>12:14:08</t>
  </si>
  <si>
    <t>13:02:43</t>
  </si>
  <si>
    <t>11290063</t>
  </si>
  <si>
    <t>14:18:22</t>
  </si>
  <si>
    <t>15:04:47</t>
  </si>
  <si>
    <t>131651</t>
  </si>
  <si>
    <t>Triple-N Lumber</t>
  </si>
  <si>
    <t>11289832</t>
  </si>
  <si>
    <t>11:44:04</t>
  </si>
  <si>
    <t>12:16:08</t>
  </si>
  <si>
    <t>131860</t>
  </si>
  <si>
    <t>Hopkins Lumber Contractors Inc</t>
  </si>
  <si>
    <t>11289131</t>
  </si>
  <si>
    <t>8:00:49</t>
  </si>
  <si>
    <t>8:22:31</t>
  </si>
  <si>
    <t>132347</t>
  </si>
  <si>
    <t>Tram Lumber LLC</t>
  </si>
  <si>
    <t>11289543</t>
  </si>
  <si>
    <t>9:54:45</t>
  </si>
  <si>
    <t>10:27:16</t>
  </si>
  <si>
    <t>11290174</t>
  </si>
  <si>
    <t>18:33:33</t>
  </si>
  <si>
    <t>19:12:21</t>
  </si>
  <si>
    <t>11289961</t>
  </si>
  <si>
    <t>13:18:45</t>
  </si>
  <si>
    <t>13:48:19</t>
  </si>
  <si>
    <t>141453</t>
  </si>
  <si>
    <t>Hendrix Lumber Co.</t>
  </si>
  <si>
    <t>11288959</t>
  </si>
  <si>
    <t>7:20:50</t>
  </si>
  <si>
    <t>7:53:46</t>
  </si>
  <si>
    <t>1474070</t>
  </si>
  <si>
    <t>Sawdust     Pine             -    - -</t>
  </si>
  <si>
    <t>122405</t>
  </si>
  <si>
    <t>Jordan Lumber &amp; Supply</t>
  </si>
  <si>
    <t>11290214</t>
  </si>
  <si>
    <t>Southern Yellow Pine</t>
  </si>
  <si>
    <t>19:30:22</t>
  </si>
  <si>
    <t>19:52:49</t>
  </si>
  <si>
    <t>11290296</t>
  </si>
  <si>
    <t>22:35:46</t>
  </si>
  <si>
    <t>22:53:34</t>
  </si>
  <si>
    <t>LZ Jordan Lumber S</t>
  </si>
  <si>
    <t>11287566</t>
  </si>
  <si>
    <t>Shavings</t>
  </si>
  <si>
    <t>1:35:29</t>
  </si>
  <si>
    <t>1:54:46</t>
  </si>
  <si>
    <t>11289410</t>
  </si>
  <si>
    <t>9:11:27</t>
  </si>
  <si>
    <t>9:37:13</t>
  </si>
  <si>
    <t>11290257</t>
  </si>
  <si>
    <t>21:32:17</t>
  </si>
  <si>
    <t>21:52:18</t>
  </si>
  <si>
    <t>122406</t>
  </si>
  <si>
    <t>H. W. Culp Lumber Co.</t>
  </si>
  <si>
    <t>11288317</t>
  </si>
  <si>
    <t>4:48:50</t>
  </si>
  <si>
    <t>5:07:05</t>
  </si>
  <si>
    <t>11289403</t>
  </si>
  <si>
    <t>9:07:23</t>
  </si>
  <si>
    <t>9:33:28</t>
  </si>
  <si>
    <t>11289955</t>
  </si>
  <si>
    <t>13:05:09</t>
  </si>
  <si>
    <t>13:40:57</t>
  </si>
  <si>
    <t>126302</t>
  </si>
  <si>
    <t>Troy Lumber Company</t>
  </si>
  <si>
    <t>LZ Troy Lumber Co S</t>
  </si>
  <si>
    <t>11289835</t>
  </si>
  <si>
    <t>11:47:54</t>
  </si>
  <si>
    <t>12:33:14</t>
  </si>
  <si>
    <t>130657</t>
  </si>
  <si>
    <t>S &amp; L Sawmills</t>
  </si>
  <si>
    <t>11287833</t>
  </si>
  <si>
    <t>2:45:18</t>
  </si>
  <si>
    <t>2:59:00</t>
  </si>
  <si>
    <t>11288326</t>
  </si>
  <si>
    <t>4:50:52</t>
  </si>
  <si>
    <t>5:10:12</t>
  </si>
  <si>
    <t>11289124</t>
  </si>
  <si>
    <t>7:58:11</t>
  </si>
  <si>
    <t>8:24:31</t>
  </si>
  <si>
    <t>LZ-Hopkins-Critz Mill</t>
  </si>
  <si>
    <t>11288781</t>
  </si>
  <si>
    <t>6:35:52</t>
  </si>
  <si>
    <t>6:57:08</t>
  </si>
  <si>
    <t>11290069</t>
  </si>
  <si>
    <t>14:38:10</t>
  </si>
  <si>
    <t>15:30:02</t>
  </si>
  <si>
    <t>11290137</t>
  </si>
  <si>
    <t>17:19:09</t>
  </si>
  <si>
    <t>17:37:42</t>
  </si>
  <si>
    <t>11290240</t>
  </si>
  <si>
    <t>20:53:51</t>
  </si>
  <si>
    <t>21:15:06</t>
  </si>
  <si>
    <t>132671</t>
  </si>
  <si>
    <t>Piedmont Hardwood Lumber Co. Inc</t>
  </si>
  <si>
    <t>11288722</t>
  </si>
  <si>
    <t>6:22:21</t>
  </si>
  <si>
    <t>6:44:23</t>
  </si>
  <si>
    <t>11290153</t>
  </si>
  <si>
    <t>17:24:26</t>
  </si>
  <si>
    <t>17:53:31</t>
  </si>
  <si>
    <t>133767</t>
  </si>
  <si>
    <t>Carolina Wood Enterprises</t>
  </si>
  <si>
    <t>11288584</t>
  </si>
  <si>
    <t>5:38:37</t>
  </si>
  <si>
    <t>5:59:27</t>
  </si>
  <si>
    <t>LZ Woodgrain - Independence VA</t>
  </si>
  <si>
    <t>11290082</t>
  </si>
  <si>
    <t>White Pine</t>
  </si>
  <si>
    <t>15:15:38</t>
  </si>
  <si>
    <t>15:50:34</t>
  </si>
  <si>
    <t>11290101</t>
  </si>
  <si>
    <t>16:08:20</t>
  </si>
  <si>
    <t>16:52:48</t>
  </si>
  <si>
    <t>11290123</t>
  </si>
  <si>
    <t>16:23:50</t>
  </si>
  <si>
    <t>16:54:47</t>
  </si>
  <si>
    <t>11290167</t>
  </si>
  <si>
    <t>18:11:19</t>
  </si>
  <si>
    <t>18:29:44</t>
  </si>
  <si>
    <t>143118</t>
  </si>
  <si>
    <t>Gregory Lumber, Inc</t>
  </si>
  <si>
    <t>11289461</t>
  </si>
  <si>
    <t>9:25:51</t>
  </si>
  <si>
    <t>9:52:22</t>
  </si>
  <si>
    <t>143607</t>
  </si>
  <si>
    <t>Roseburg Forest Products</t>
  </si>
  <si>
    <t>11289714</t>
  </si>
  <si>
    <t>10:46:05</t>
  </si>
  <si>
    <t>11:19:00</t>
  </si>
  <si>
    <t>1506200</t>
  </si>
  <si>
    <t>Chips         pine        -    - d</t>
  </si>
  <si>
    <t>121423</t>
  </si>
  <si>
    <t>Canfor - New South Lumber Co.</t>
  </si>
  <si>
    <t>11288405</t>
  </si>
  <si>
    <t>5:05:24</t>
  </si>
  <si>
    <t>5:33:57</t>
  </si>
  <si>
    <t>11289756</t>
  </si>
  <si>
    <t>11:02:28</t>
  </si>
  <si>
    <t>12:03:29</t>
  </si>
  <si>
    <t>11290074</t>
  </si>
  <si>
    <t>14:55:51</t>
  </si>
  <si>
    <t>15:56:31</t>
  </si>
  <si>
    <t>11288252</t>
  </si>
  <si>
    <t>4:24:32</t>
  </si>
  <si>
    <t>4:40:57</t>
  </si>
  <si>
    <t>11288873</t>
  </si>
  <si>
    <t>7:01:45</t>
  </si>
  <si>
    <t>7:21:10</t>
  </si>
  <si>
    <t>11288901</t>
  </si>
  <si>
    <t>7:05:32</t>
  </si>
  <si>
    <t>7:23:26</t>
  </si>
  <si>
    <t>11289503</t>
  </si>
  <si>
    <t>9:41:25</t>
  </si>
  <si>
    <t>10:00:07</t>
  </si>
  <si>
    <t>11289548</t>
  </si>
  <si>
    <t>9:57:48</t>
  </si>
  <si>
    <t>10:18:12</t>
  </si>
  <si>
    <t>11289868</t>
  </si>
  <si>
    <t>12:06:09</t>
  </si>
  <si>
    <t>12:26:58</t>
  </si>
  <si>
    <t>11290086</t>
  </si>
  <si>
    <t>15:24:31</t>
  </si>
  <si>
    <t>15:52:08</t>
  </si>
  <si>
    <t>11290164</t>
  </si>
  <si>
    <t>18:00:32</t>
  </si>
  <si>
    <t>18:18:47</t>
  </si>
  <si>
    <t>11290235</t>
  </si>
  <si>
    <t>20:23:39</t>
  </si>
  <si>
    <t>20:40:37</t>
  </si>
  <si>
    <t>11288258</t>
  </si>
  <si>
    <t>4:25:54</t>
  </si>
  <si>
    <t>4:43:48</t>
  </si>
  <si>
    <t>11288827</t>
  </si>
  <si>
    <t>6:50:00</t>
  </si>
  <si>
    <t>7:12:15</t>
  </si>
  <si>
    <t>11289032</t>
  </si>
  <si>
    <t>7:43:50</t>
  </si>
  <si>
    <t>7:59:39</t>
  </si>
  <si>
    <t>11289039</t>
  </si>
  <si>
    <t>7:47:31</t>
  </si>
  <si>
    <t>8:09:00</t>
  </si>
  <si>
    <t>11289528</t>
  </si>
  <si>
    <t>9:51:38</t>
  </si>
  <si>
    <t>10:15:20</t>
  </si>
  <si>
    <t>11289633</t>
  </si>
  <si>
    <t>10:12:52</t>
  </si>
  <si>
    <t>11:10:03</t>
  </si>
  <si>
    <t>LZ Troy Lumber Chipmill</t>
  </si>
  <si>
    <t>11289405</t>
  </si>
  <si>
    <t>9:08:46</t>
  </si>
  <si>
    <t>9:31:40</t>
  </si>
  <si>
    <t>11289453</t>
  </si>
  <si>
    <t>9:18:15</t>
  </si>
  <si>
    <t>9:43:48</t>
  </si>
  <si>
    <t>11289531</t>
  </si>
  <si>
    <t>9:53:24</t>
  </si>
  <si>
    <t>10:33:02</t>
  </si>
  <si>
    <t>11289610</t>
  </si>
  <si>
    <t>10:10:55</t>
  </si>
  <si>
    <t>10:57:24</t>
  </si>
  <si>
    <t>11289636</t>
  </si>
  <si>
    <t>10:14:40</t>
  </si>
  <si>
    <t>11:24:17</t>
  </si>
  <si>
    <t>11289882</t>
  </si>
  <si>
    <t>12:07:38</t>
  </si>
  <si>
    <t>12:42:37</t>
  </si>
  <si>
    <t>11289949</t>
  </si>
  <si>
    <t>12:59:02</t>
  </si>
  <si>
    <t>13:39:08</t>
  </si>
  <si>
    <t>11290040</t>
  </si>
  <si>
    <t>13:47:22</t>
  </si>
  <si>
    <t>14:25:54</t>
  </si>
  <si>
    <t>11290056</t>
  </si>
  <si>
    <t>14:00:10</t>
  </si>
  <si>
    <t>14:40:00</t>
  </si>
  <si>
    <t>LZ Troy Lumber Sawmill</t>
  </si>
  <si>
    <t>11289266</t>
  </si>
  <si>
    <t>8:29:31</t>
  </si>
  <si>
    <t>8:51:50</t>
  </si>
  <si>
    <t>11289841</t>
  </si>
  <si>
    <t>11:53:10</t>
  </si>
  <si>
    <t>12:25:33</t>
  </si>
  <si>
    <t>11289845</t>
  </si>
  <si>
    <t>11:55:17</t>
  </si>
  <si>
    <t>12:31:27</t>
  </si>
  <si>
    <t>11289928</t>
  </si>
  <si>
    <t>12:46:11</t>
  </si>
  <si>
    <t>13:07:03</t>
  </si>
  <si>
    <t>11290034</t>
  </si>
  <si>
    <t>13:38:39</t>
  </si>
  <si>
    <t>14:00:12</t>
  </si>
  <si>
    <t>11290070</t>
  </si>
  <si>
    <t>14:41:40</t>
  </si>
  <si>
    <t>15:32:03</t>
  </si>
  <si>
    <t>11287649</t>
  </si>
  <si>
    <t>2:06:21</t>
  </si>
  <si>
    <t>2:29:50</t>
  </si>
  <si>
    <t>131853</t>
  </si>
  <si>
    <t>Pine Products, LLC</t>
  </si>
  <si>
    <t>11289696</t>
  </si>
  <si>
    <t>10:39:04</t>
  </si>
  <si>
    <t>11:20:32</t>
  </si>
  <si>
    <t>11289752</t>
  </si>
  <si>
    <t>11:00:50</t>
  </si>
  <si>
    <t>11:52:02</t>
  </si>
  <si>
    <t>11289947</t>
  </si>
  <si>
    <t>12:57:26</t>
  </si>
  <si>
    <t>13:18:44</t>
  </si>
  <si>
    <t>11290071</t>
  </si>
  <si>
    <t>14:43:31</t>
  </si>
  <si>
    <t>15:48:59</t>
  </si>
  <si>
    <t>11290090</t>
  </si>
  <si>
    <t>15:33:21</t>
  </si>
  <si>
    <t>15:54:34</t>
  </si>
  <si>
    <t>11287419</t>
  </si>
  <si>
    <t>0:39:08</t>
  </si>
  <si>
    <t>0:57:00</t>
  </si>
  <si>
    <t>11288488</t>
  </si>
  <si>
    <t>5:25:59</t>
  </si>
  <si>
    <t>5:52:52</t>
  </si>
  <si>
    <t>11289601</t>
  </si>
  <si>
    <t>10:06:44</t>
  </si>
  <si>
    <t>10:49:51</t>
  </si>
  <si>
    <t>11289837</t>
  </si>
  <si>
    <t>11:50:05</t>
  </si>
  <si>
    <t>12:18:38</t>
  </si>
  <si>
    <t>11289693</t>
  </si>
  <si>
    <t>10:37:23</t>
  </si>
  <si>
    <t>11:40:58</t>
  </si>
  <si>
    <t>132367</t>
  </si>
  <si>
    <t>Boise Cascade Company</t>
  </si>
  <si>
    <t>11288627</t>
  </si>
  <si>
    <t>5:53:02</t>
  </si>
  <si>
    <t>6:14:23</t>
  </si>
  <si>
    <t>11289444</t>
  </si>
  <si>
    <t>19:20:07</t>
  </si>
  <si>
    <t>19:49:34</t>
  </si>
  <si>
    <t>11290052</t>
  </si>
  <si>
    <t>13:54:01</t>
  </si>
  <si>
    <t>14:36:22</t>
  </si>
  <si>
    <t>11290175</t>
  </si>
  <si>
    <t>18:37:01</t>
  </si>
  <si>
    <t>18:55:15</t>
  </si>
  <si>
    <t>11290285</t>
  </si>
  <si>
    <t>21:53:22</t>
  </si>
  <si>
    <t>22:15:34</t>
  </si>
  <si>
    <t>11290060</t>
  </si>
  <si>
    <t>14:03:57</t>
  </si>
  <si>
    <t>15:00:06</t>
  </si>
  <si>
    <t>11290159</t>
  </si>
  <si>
    <t>17:57:18</t>
  </si>
  <si>
    <t>18:16:52</t>
  </si>
  <si>
    <t>11289663</t>
  </si>
  <si>
    <t>10:25:17</t>
  </si>
  <si>
    <t>11:33:22</t>
  </si>
  <si>
    <t>11288673</t>
  </si>
  <si>
    <t>6:10:49</t>
  </si>
  <si>
    <t>6:30:44</t>
  </si>
  <si>
    <t>11289505</t>
  </si>
  <si>
    <t>9:43:00</t>
  </si>
  <si>
    <t>10:06:33</t>
  </si>
  <si>
    <t>11289525</t>
  </si>
  <si>
    <t>9:50:07</t>
  </si>
  <si>
    <t>10:20:31</t>
  </si>
  <si>
    <t>11289723</t>
  </si>
  <si>
    <t>10:53:03</t>
  </si>
  <si>
    <t>11:54:03</t>
  </si>
  <si>
    <t>11289731</t>
  </si>
  <si>
    <t>10:59:17</t>
  </si>
  <si>
    <t>12:01:30</t>
  </si>
  <si>
    <t>134395</t>
  </si>
  <si>
    <t>L &amp; E Lumber Inc</t>
  </si>
  <si>
    <t>11289253</t>
  </si>
  <si>
    <t>8:22:05</t>
  </si>
  <si>
    <t>8:43:24</t>
  </si>
  <si>
    <t>11290039</t>
  </si>
  <si>
    <t>13:44:56</t>
  </si>
  <si>
    <t>14:14:08</t>
  </si>
  <si>
    <t>140659</t>
  </si>
  <si>
    <t>C &amp; B Lumber Inc.</t>
  </si>
  <si>
    <t>11288525</t>
  </si>
  <si>
    <t>5:28:57</t>
  </si>
  <si>
    <t>6:01:12</t>
  </si>
  <si>
    <t>11287685</t>
  </si>
  <si>
    <t>2:10:09</t>
  </si>
  <si>
    <t>2:41:06</t>
  </si>
  <si>
    <t>11288744</t>
  </si>
  <si>
    <t>6:30:36</t>
  </si>
  <si>
    <t>6:50:02</t>
  </si>
  <si>
    <t>1545607</t>
  </si>
  <si>
    <t>Pre-Consumer RC Solid Wood Chips</t>
  </si>
  <si>
    <t>136514</t>
  </si>
  <si>
    <t>Atlantic Building Components</t>
  </si>
  <si>
    <t>Recycling</t>
  </si>
  <si>
    <t>11290162</t>
  </si>
  <si>
    <t>17:59:15</t>
  </si>
  <si>
    <t>18:35:09</t>
  </si>
  <si>
    <t>136546</t>
  </si>
  <si>
    <t>H&amp;M Wood Preserving Inc.</t>
  </si>
  <si>
    <t>11289959</t>
  </si>
  <si>
    <t>13:15:06</t>
  </si>
  <si>
    <t>13:46:24</t>
  </si>
  <si>
    <t>1558234</t>
  </si>
  <si>
    <t>In-woods chips  coniferous w. -    - d</t>
  </si>
  <si>
    <t>134080</t>
  </si>
  <si>
    <t>Glenn R Shelton Logging Inc</t>
  </si>
  <si>
    <t>11288393</t>
  </si>
  <si>
    <t>5:02:15</t>
  </si>
  <si>
    <t>5:22:47</t>
  </si>
  <si>
    <t>11290066</t>
  </si>
  <si>
    <t>14:31:04</t>
  </si>
  <si>
    <t>15:22:25</t>
  </si>
  <si>
    <t>136545</t>
  </si>
  <si>
    <t>Brinegar Enterprises</t>
  </si>
  <si>
    <t>LZ- Brinegar-Patrick</t>
  </si>
  <si>
    <t>11288767</t>
  </si>
  <si>
    <t>6:34:16</t>
  </si>
  <si>
    <t>7:02:00</t>
  </si>
  <si>
    <t>11288974</t>
  </si>
  <si>
    <t>7:22:20</t>
  </si>
  <si>
    <t>7:45:43</t>
  </si>
  <si>
    <t>141454</t>
  </si>
  <si>
    <t>Calvin L Payne</t>
  </si>
  <si>
    <t>LZ Calvin L Payne - Wood Yard</t>
  </si>
  <si>
    <t>11288453</t>
  </si>
  <si>
    <t>5:14:29</t>
  </si>
  <si>
    <t>5:41:20</t>
  </si>
  <si>
    <t>148916</t>
  </si>
  <si>
    <t>Piedmont Timber Inc.</t>
  </si>
  <si>
    <t>LZ-Piedmont Timber-Stokes</t>
  </si>
  <si>
    <t>11290059</t>
  </si>
  <si>
    <t>14:01:52</t>
  </si>
  <si>
    <t>14:49:29</t>
  </si>
  <si>
    <t>11290077</t>
  </si>
  <si>
    <t>15:03:31</t>
  </si>
  <si>
    <t>16:03:57</t>
  </si>
  <si>
    <t>11290134</t>
  </si>
  <si>
    <t>17:04:19</t>
  </si>
  <si>
    <t>17:22:43</t>
  </si>
  <si>
    <t>1558235</t>
  </si>
  <si>
    <t>In-woods chips  deciduous w. -    - d</t>
  </si>
  <si>
    <t>133738</t>
  </si>
  <si>
    <t>Pine State Group Inc</t>
  </si>
  <si>
    <t>LZ Pine State - Pelham</t>
  </si>
  <si>
    <t>11290061</t>
  </si>
  <si>
    <t>14:10:04</t>
  </si>
  <si>
    <t>14:51:20</t>
  </si>
  <si>
    <t>11290292</t>
  </si>
  <si>
    <t>22:17:33</t>
  </si>
  <si>
    <t>22:37:52</t>
  </si>
  <si>
    <t>141801</t>
  </si>
  <si>
    <t>Select Timber Services, Inc</t>
  </si>
  <si>
    <t>LZ-Select-Forsyth</t>
  </si>
  <si>
    <t>11289599</t>
  </si>
  <si>
    <t>10:04:58</t>
  </si>
  <si>
    <t>10:51:37</t>
  </si>
  <si>
    <t>11289547</t>
  </si>
  <si>
    <t>9:56:36</t>
  </si>
  <si>
    <t>10:37:53</t>
  </si>
  <si>
    <t/>
  </si>
  <si>
    <t>11293396</t>
  </si>
  <si>
    <t>03.05.2022</t>
  </si>
  <si>
    <t>13:44:45</t>
  </si>
  <si>
    <t>0:48:30</t>
  </si>
  <si>
    <t>11291570</t>
  </si>
  <si>
    <t>5:50:54</t>
  </si>
  <si>
    <t>6:18:30</t>
  </si>
  <si>
    <t>11292857</t>
  </si>
  <si>
    <t>9:40:40</t>
  </si>
  <si>
    <t>10:32:24</t>
  </si>
  <si>
    <t>11293229</t>
  </si>
  <si>
    <t>11:48:40</t>
  </si>
  <si>
    <t>12:19:44</t>
  </si>
  <si>
    <t>11292477</t>
  </si>
  <si>
    <t>8:13:30</t>
  </si>
  <si>
    <t>8:36:43</t>
  </si>
  <si>
    <t>11292837</t>
  </si>
  <si>
    <t>9:35:31</t>
  </si>
  <si>
    <t>10:06:05</t>
  </si>
  <si>
    <t>11292852</t>
  </si>
  <si>
    <t>9:38:18</t>
  </si>
  <si>
    <t>10:23:31</t>
  </si>
  <si>
    <t>11293526</t>
  </si>
  <si>
    <t>15:58:27</t>
  </si>
  <si>
    <t>17:04:33</t>
  </si>
  <si>
    <t>11293530</t>
  </si>
  <si>
    <t>16:03:25</t>
  </si>
  <si>
    <t>17:17:56</t>
  </si>
  <si>
    <t>134020</t>
  </si>
  <si>
    <t>Stoneville Lumber Co., Inc</t>
  </si>
  <si>
    <t>11292814</t>
  </si>
  <si>
    <t>9:27:30</t>
  </si>
  <si>
    <t>9:51:28</t>
  </si>
  <si>
    <t>11292989</t>
  </si>
  <si>
    <t>10:22:57</t>
  </si>
  <si>
    <t>11:27:07</t>
  </si>
  <si>
    <t>11293473</t>
  </si>
  <si>
    <t>14:55:44</t>
  </si>
  <si>
    <t>15:24:14</t>
  </si>
  <si>
    <t>11292472</t>
  </si>
  <si>
    <t>8:10:57</t>
  </si>
  <si>
    <t>8:42:16</t>
  </si>
  <si>
    <t>11292474</t>
  </si>
  <si>
    <t>8:12:09</t>
  </si>
  <si>
    <t>8:43:41</t>
  </si>
  <si>
    <t>145712</t>
  </si>
  <si>
    <t>Bumgarner Lumber Inc</t>
  </si>
  <si>
    <t>11292569</t>
  </si>
  <si>
    <t>8:34:00</t>
  </si>
  <si>
    <t>9:14:38</t>
  </si>
  <si>
    <t>11290558</t>
  </si>
  <si>
    <t>1:24:04</t>
  </si>
  <si>
    <t>2:00:49</t>
  </si>
  <si>
    <t>11292507</t>
  </si>
  <si>
    <t>8:20:26</t>
  </si>
  <si>
    <t>8:48:35</t>
  </si>
  <si>
    <t>11293310</t>
  </si>
  <si>
    <t>23:09:18</t>
  </si>
  <si>
    <t>23:27:27</t>
  </si>
  <si>
    <t>11293551</t>
  </si>
  <si>
    <t>16:44:21</t>
  </si>
  <si>
    <t>17:23:42</t>
  </si>
  <si>
    <t>11293677</t>
  </si>
  <si>
    <t>20:07:49</t>
  </si>
  <si>
    <t>20:32:05</t>
  </si>
  <si>
    <t>11291569</t>
  </si>
  <si>
    <t>5:48:43</t>
  </si>
  <si>
    <t>6:16:54</t>
  </si>
  <si>
    <t>11292687</t>
  </si>
  <si>
    <t>9:02:06</t>
  </si>
  <si>
    <t>9:23:57</t>
  </si>
  <si>
    <t>11293295</t>
  </si>
  <si>
    <t>12:26:46</t>
  </si>
  <si>
    <t>12:50:53</t>
  </si>
  <si>
    <t>11293676</t>
  </si>
  <si>
    <t>20:01:53</t>
  </si>
  <si>
    <t>20:21:17</t>
  </si>
  <si>
    <t>11293161</t>
  </si>
  <si>
    <t>11:28:20</t>
  </si>
  <si>
    <t>12:08:38</t>
  </si>
  <si>
    <t>11293432</t>
  </si>
  <si>
    <t>13:59:13</t>
  </si>
  <si>
    <t>14:29:18</t>
  </si>
  <si>
    <t>11292236</t>
  </si>
  <si>
    <t>7:15:30</t>
  </si>
  <si>
    <t>7:39:09</t>
  </si>
  <si>
    <t>11293099</t>
  </si>
  <si>
    <t>10:55:43</t>
  </si>
  <si>
    <t>12:10:48</t>
  </si>
  <si>
    <t>11293476</t>
  </si>
  <si>
    <t>15:08:47</t>
  </si>
  <si>
    <t>15:45:34</t>
  </si>
  <si>
    <t>11291267</t>
  </si>
  <si>
    <t>4:17:33</t>
  </si>
  <si>
    <t>4:37:46</t>
  </si>
  <si>
    <t>11292263</t>
  </si>
  <si>
    <t>7:17:41</t>
  </si>
  <si>
    <t>7:56:41</t>
  </si>
  <si>
    <t>11293231</t>
  </si>
  <si>
    <t>11:50:59</t>
  </si>
  <si>
    <t>12:44:40</t>
  </si>
  <si>
    <t>11293249</t>
  </si>
  <si>
    <t>12:03:42</t>
  </si>
  <si>
    <t>12:26:45</t>
  </si>
  <si>
    <t>11292011</t>
  </si>
  <si>
    <t>6:19:43</t>
  </si>
  <si>
    <t>7:06:11</t>
  </si>
  <si>
    <t>11292993</t>
  </si>
  <si>
    <t>10:25:00</t>
  </si>
  <si>
    <t>11:29:06</t>
  </si>
  <si>
    <t>11293308</t>
  </si>
  <si>
    <t>22:14:32</t>
  </si>
  <si>
    <t>22:31:54</t>
  </si>
  <si>
    <t>11293554</t>
  </si>
  <si>
    <t>16:57:29</t>
  </si>
  <si>
    <t>17:33:44</t>
  </si>
  <si>
    <t>11293380</t>
  </si>
  <si>
    <t>13:28:36</t>
  </si>
  <si>
    <t>13:54:04</t>
  </si>
  <si>
    <t>11293557</t>
  </si>
  <si>
    <t>16:59:10</t>
  </si>
  <si>
    <t>17:49:14</t>
  </si>
  <si>
    <t>133763</t>
  </si>
  <si>
    <t>Elkins Sawmill</t>
  </si>
  <si>
    <t>11293305</t>
  </si>
  <si>
    <t>19:16:00</t>
  </si>
  <si>
    <t>19:38:05</t>
  </si>
  <si>
    <t>11293062</t>
  </si>
  <si>
    <t>10:44:37</t>
  </si>
  <si>
    <t>11:42:12</t>
  </si>
  <si>
    <t>11293678</t>
  </si>
  <si>
    <t>20:19:48</t>
  </si>
  <si>
    <t>20:45:51</t>
  </si>
  <si>
    <t>11291957</t>
  </si>
  <si>
    <t>6:07:37</t>
  </si>
  <si>
    <t>7:00:54</t>
  </si>
  <si>
    <t>11292986</t>
  </si>
  <si>
    <t>10:20:49</t>
  </si>
  <si>
    <t>11:00:52</t>
  </si>
  <si>
    <t>11293250</t>
  </si>
  <si>
    <t>12:05:22</t>
  </si>
  <si>
    <t>12:48:58</t>
  </si>
  <si>
    <t>141476</t>
  </si>
  <si>
    <t>GPC Land and Timber LLC</t>
  </si>
  <si>
    <t>11293303</t>
  </si>
  <si>
    <t>18:16:59</t>
  </si>
  <si>
    <t>18:33:07</t>
  </si>
  <si>
    <t>11293309</t>
  </si>
  <si>
    <t>22:22:53</t>
  </si>
  <si>
    <t>22:59:54</t>
  </si>
  <si>
    <t>11292283</t>
  </si>
  <si>
    <t>7:23:11</t>
  </si>
  <si>
    <t>7:50:37</t>
  </si>
  <si>
    <t>11291567</t>
  </si>
  <si>
    <t>5:16:48</t>
  </si>
  <si>
    <t>5:44:43</t>
  </si>
  <si>
    <t>11292131</t>
  </si>
  <si>
    <t>6:54:34</t>
  </si>
  <si>
    <t>7:28:31</t>
  </si>
  <si>
    <t>11293070</t>
  </si>
  <si>
    <t>10:47:55</t>
  </si>
  <si>
    <t>11:34:02</t>
  </si>
  <si>
    <t>11293444</t>
  </si>
  <si>
    <t>14:17:29</t>
  </si>
  <si>
    <t>15:05:35</t>
  </si>
  <si>
    <t>11293578</t>
  </si>
  <si>
    <t>17:39:09</t>
  </si>
  <si>
    <t>18:00:50</t>
  </si>
  <si>
    <t>11293604</t>
  </si>
  <si>
    <t>17:55:32</t>
  </si>
  <si>
    <t>18:20:17</t>
  </si>
  <si>
    <t>11291270</t>
  </si>
  <si>
    <t>4:30:28</t>
  </si>
  <si>
    <t>4:53:11</t>
  </si>
  <si>
    <t>11292201</t>
  </si>
  <si>
    <t>7:10:14</t>
  </si>
  <si>
    <t>7:30:16</t>
  </si>
  <si>
    <t>11292267</t>
  </si>
  <si>
    <t>7:19:28</t>
  </si>
  <si>
    <t>7:40:59</t>
  </si>
  <si>
    <t>11292833</t>
  </si>
  <si>
    <t>9:53:37</t>
  </si>
  <si>
    <t>11293251</t>
  </si>
  <si>
    <t>12:06:40</t>
  </si>
  <si>
    <t>12:32:04</t>
  </si>
  <si>
    <t>11293512</t>
  </si>
  <si>
    <t>15:34:31</t>
  </si>
  <si>
    <t>15:53:37</t>
  </si>
  <si>
    <t>11293606</t>
  </si>
  <si>
    <t>18:05:48</t>
  </si>
  <si>
    <t>18:25:08</t>
  </si>
  <si>
    <t>11293679</t>
  </si>
  <si>
    <t>20:25:15</t>
  </si>
  <si>
    <t>20:43:45</t>
  </si>
  <si>
    <t>11291268</t>
  </si>
  <si>
    <t>4:22:43</t>
  </si>
  <si>
    <t>4:43:03</t>
  </si>
  <si>
    <t>11291271</t>
  </si>
  <si>
    <t>4:46:42</t>
  </si>
  <si>
    <t>5:08:25</t>
  </si>
  <si>
    <t>11292455</t>
  </si>
  <si>
    <t>8:09:21</t>
  </si>
  <si>
    <t>8:56:05</t>
  </si>
  <si>
    <t>11292530</t>
  </si>
  <si>
    <t>8:26:22</t>
  </si>
  <si>
    <t>9:19:07</t>
  </si>
  <si>
    <t>11292704</t>
  </si>
  <si>
    <t>9:03:48</t>
  </si>
  <si>
    <t>11292525</t>
  </si>
  <si>
    <t>8:24:50</t>
  </si>
  <si>
    <t>9:11:11</t>
  </si>
  <si>
    <t>11292858</t>
  </si>
  <si>
    <t>9:42:35</t>
  </si>
  <si>
    <t>10:03:40</t>
  </si>
  <si>
    <t>11292996</t>
  </si>
  <si>
    <t>10:26:42</t>
  </si>
  <si>
    <t>10:48:24</t>
  </si>
  <si>
    <t>11293298</t>
  </si>
  <si>
    <t>12:28:25</t>
  </si>
  <si>
    <t>13:20:32</t>
  </si>
  <si>
    <t>11293345</t>
  </si>
  <si>
    <t>12:52:10</t>
  </si>
  <si>
    <t>13:37:01</t>
  </si>
  <si>
    <t>11293394</t>
  </si>
  <si>
    <t>13:35:44</t>
  </si>
  <si>
    <t>14:04:59</t>
  </si>
  <si>
    <t>11293400</t>
  </si>
  <si>
    <t>13:56:19</t>
  </si>
  <si>
    <t>14:18:37</t>
  </si>
  <si>
    <t>11293401</t>
  </si>
  <si>
    <t>13:57:58</t>
  </si>
  <si>
    <t>14:32:45</t>
  </si>
  <si>
    <t>11292860</t>
  </si>
  <si>
    <t>9:44:23</t>
  </si>
  <si>
    <t>10:15:37</t>
  </si>
  <si>
    <t>11292935</t>
  </si>
  <si>
    <t>10:05:05</t>
  </si>
  <si>
    <t>10:30:16</t>
  </si>
  <si>
    <t>11293248</t>
  </si>
  <si>
    <t>12:02:20</t>
  </si>
  <si>
    <t>12:47:06</t>
  </si>
  <si>
    <t>11293330</t>
  </si>
  <si>
    <t>12:41:10</t>
  </si>
  <si>
    <t>13:29:35</t>
  </si>
  <si>
    <t>11290972</t>
  </si>
  <si>
    <t>2:43:45</t>
  </si>
  <si>
    <t>3:05:06</t>
  </si>
  <si>
    <t>11293081</t>
  </si>
  <si>
    <t>10:51:56</t>
  </si>
  <si>
    <t>11:57:06</t>
  </si>
  <si>
    <t>11293075</t>
  </si>
  <si>
    <t>10:49:45</t>
  </si>
  <si>
    <t>11:51:37</t>
  </si>
  <si>
    <t>11293434</t>
  </si>
  <si>
    <t>14:01:05</t>
  </si>
  <si>
    <t>14:52:42</t>
  </si>
  <si>
    <t>11293470</t>
  </si>
  <si>
    <t>14:49:49</t>
  </si>
  <si>
    <t>15:21:14</t>
  </si>
  <si>
    <t>11293520</t>
  </si>
  <si>
    <t>15:50:52</t>
  </si>
  <si>
    <t>16:17:49</t>
  </si>
  <si>
    <t>11291564</t>
  </si>
  <si>
    <t>4:58:21</t>
  </si>
  <si>
    <t>5:23:24</t>
  </si>
  <si>
    <t>11291933</t>
  </si>
  <si>
    <t>6:02:29</t>
  </si>
  <si>
    <t>6:39:03</t>
  </si>
  <si>
    <t>11293039</t>
  </si>
  <si>
    <t>10:42:32</t>
  </si>
  <si>
    <t>11:04:36</t>
  </si>
  <si>
    <t>11293190</t>
  </si>
  <si>
    <t>11:26:13</t>
  </si>
  <si>
    <t>11:41:47</t>
  </si>
  <si>
    <t>11292754</t>
  </si>
  <si>
    <t>9:17:05</t>
  </si>
  <si>
    <t>9:19:27</t>
  </si>
  <si>
    <t>11292755</t>
  </si>
  <si>
    <t>8:55:23</t>
  </si>
  <si>
    <t>9:19:52</t>
  </si>
  <si>
    <t>11292756</t>
  </si>
  <si>
    <t>9:18:06</t>
  </si>
  <si>
    <t>9:20:27</t>
  </si>
  <si>
    <t>11292761</t>
  </si>
  <si>
    <t>9:22:02</t>
  </si>
  <si>
    <t>9:47:40</t>
  </si>
  <si>
    <t>11293115</t>
  </si>
  <si>
    <t>10:58:51</t>
  </si>
  <si>
    <t>12:12:41</t>
  </si>
  <si>
    <t>11293311</t>
  </si>
  <si>
    <t>23:12:28</t>
  </si>
  <si>
    <t>23:29:39</t>
  </si>
  <si>
    <t>11293517</t>
  </si>
  <si>
    <t>15:45:45</t>
  </si>
  <si>
    <t>16:03:18</t>
  </si>
  <si>
    <t>11293579</t>
  </si>
  <si>
    <t>17:41:37</t>
  </si>
  <si>
    <t>18:12:44</t>
  </si>
  <si>
    <t>11293693</t>
  </si>
  <si>
    <t>20:42:59</t>
  </si>
  <si>
    <t>21:05:29</t>
  </si>
  <si>
    <t>11293772</t>
  </si>
  <si>
    <t>23:18:24</t>
  </si>
  <si>
    <t>23:45:40</t>
  </si>
  <si>
    <t>11293304</t>
  </si>
  <si>
    <t>18:25:11</t>
  </si>
  <si>
    <t>18:47:47</t>
  </si>
  <si>
    <t>11293307</t>
  </si>
  <si>
    <t>21:11:24</t>
  </si>
  <si>
    <t>21:34:24</t>
  </si>
  <si>
    <t>11292006</t>
  </si>
  <si>
    <t>6:17:34</t>
  </si>
  <si>
    <t>7:02:42</t>
  </si>
  <si>
    <t>134022</t>
  </si>
  <si>
    <t>R &amp; M Lumber</t>
  </si>
  <si>
    <t>11292443</t>
  </si>
  <si>
    <t>8:03:27</t>
  </si>
  <si>
    <t>8:35:18</t>
  </si>
  <si>
    <t>11293306</t>
  </si>
  <si>
    <t>20:46:22</t>
  </si>
  <si>
    <t>21:17:49</t>
  </si>
  <si>
    <t>11293113</t>
  </si>
  <si>
    <t>10:57:36</t>
  </si>
  <si>
    <t>12:06:48</t>
  </si>
  <si>
    <t>11291263</t>
  </si>
  <si>
    <t>3:48:33</t>
  </si>
  <si>
    <t>4:13:56</t>
  </si>
  <si>
    <t>11292522</t>
  </si>
  <si>
    <t>8:22:40</t>
  </si>
  <si>
    <t>9:01:26</t>
  </si>
  <si>
    <t>11292288</t>
  </si>
  <si>
    <t>7:24:50</t>
  </si>
  <si>
    <t>8:05:35</t>
  </si>
  <si>
    <t>11293440</t>
  </si>
  <si>
    <t>14:12:11</t>
  </si>
  <si>
    <t>15:03:13</t>
  </si>
  <si>
    <t>11293577</t>
  </si>
  <si>
    <t>17:36:49</t>
  </si>
  <si>
    <t>18:10:11</t>
  </si>
  <si>
    <t>133769</t>
  </si>
  <si>
    <t>Gold Hill Forest Products</t>
  </si>
  <si>
    <t>11293523</t>
  </si>
  <si>
    <t>15:54:57</t>
  </si>
  <si>
    <t>16:19:29</t>
  </si>
  <si>
    <t>11292563</t>
  </si>
  <si>
    <t>8:32:01</t>
  </si>
  <si>
    <t>8:59:34</t>
  </si>
  <si>
    <t>11293300</t>
  </si>
  <si>
    <t>12:30:08</t>
  </si>
  <si>
    <t>13:12:46</t>
  </si>
  <si>
    <t>11293544</t>
  </si>
  <si>
    <t>16:22:25</t>
  </si>
  <si>
    <t>17:21:28</t>
  </si>
  <si>
    <t>11293581</t>
  </si>
  <si>
    <t>17:46:49</t>
  </si>
  <si>
    <t>18:22:02</t>
  </si>
  <si>
    <t>134197</t>
  </si>
  <si>
    <t>Wilderness-Stuart, INC.</t>
  </si>
  <si>
    <t>11292449</t>
  </si>
  <si>
    <t>8:05:15</t>
  </si>
  <si>
    <t>8:32:55</t>
  </si>
  <si>
    <t>137602</t>
  </si>
  <si>
    <t>Clayton Homes</t>
  </si>
  <si>
    <t>11293448</t>
  </si>
  <si>
    <t>14:23:33</t>
  </si>
  <si>
    <t>15:14:05</t>
  </si>
  <si>
    <t>11292451</t>
  </si>
  <si>
    <t>8:07:55</t>
  </si>
  <si>
    <t>8:45:25</t>
  </si>
  <si>
    <t>11293124</t>
  </si>
  <si>
    <t>11:06:16</t>
  </si>
  <si>
    <t>12:24:21</t>
  </si>
  <si>
    <t>133808</t>
  </si>
  <si>
    <t>Bowling Logging and Chipping Inc.</t>
  </si>
  <si>
    <t>LZ Bowling-Stoneville Tract</t>
  </si>
  <si>
    <t>11293350</t>
  </si>
  <si>
    <t>12:58:48</t>
  </si>
  <si>
    <t>13:52:30</t>
  </si>
  <si>
    <t>11292377</t>
  </si>
  <si>
    <t>7:44:27</t>
  </si>
  <si>
    <t>8:08:05</t>
  </si>
  <si>
    <t>11293066</t>
  </si>
  <si>
    <t>10:46:31</t>
  </si>
  <si>
    <t>11:17:40</t>
  </si>
  <si>
    <t>11293267</t>
  </si>
  <si>
    <t>12:16:47</t>
  </si>
  <si>
    <t>13:08:28</t>
  </si>
  <si>
    <t>11291568</t>
  </si>
  <si>
    <t>5:41:59</t>
  </si>
  <si>
    <t>6:03:25</t>
  </si>
  <si>
    <t>11292226</t>
  </si>
  <si>
    <t>7:11:49</t>
  </si>
  <si>
    <t>7:42:38</t>
  </si>
  <si>
    <t>11293472</t>
  </si>
  <si>
    <t>14:54:00</t>
  </si>
  <si>
    <t>15:43:01</t>
  </si>
  <si>
    <t>11293545</t>
  </si>
  <si>
    <t>16:25:59</t>
  </si>
  <si>
    <t>16:44:06</t>
  </si>
  <si>
    <t>11290555</t>
  </si>
  <si>
    <t>1:05:55</t>
  </si>
  <si>
    <t>1:26:59</t>
  </si>
  <si>
    <t>11291566</t>
  </si>
  <si>
    <t>5:12:25</t>
  </si>
  <si>
    <t>5:33:28</t>
  </si>
  <si>
    <t>11291571</t>
  </si>
  <si>
    <t>5:53:25</t>
  </si>
  <si>
    <t>6:44:12</t>
  </si>
  <si>
    <t>11292891</t>
  </si>
  <si>
    <t>9:52:52</t>
  </si>
  <si>
    <t>10:44:22</t>
  </si>
  <si>
    <t>11293093</t>
  </si>
  <si>
    <t>10:53:45</t>
  </si>
  <si>
    <t>11:59:10</t>
  </si>
  <si>
    <t>11293392</t>
  </si>
  <si>
    <t>13:33:50</t>
  </si>
  <si>
    <t>14:06:41</t>
  </si>
  <si>
    <t>11293525</t>
  </si>
  <si>
    <t>15:56:47</t>
  </si>
  <si>
    <t>16:35:47</t>
  </si>
  <si>
    <t>141872</t>
  </si>
  <si>
    <t>Payne Logging</t>
  </si>
  <si>
    <t>Payne Logging - Surry</t>
  </si>
  <si>
    <t>11293331</t>
  </si>
  <si>
    <t>12:44:12</t>
  </si>
  <si>
    <t>13:27:33</t>
  </si>
  <si>
    <t>144275</t>
  </si>
  <si>
    <t>S.M.Smith &amp; Sons, Inc.</t>
  </si>
  <si>
    <t>LZ-SMSmith-Poplar Tent Tract</t>
  </si>
  <si>
    <t>11293347</t>
  </si>
  <si>
    <t>12:54:23</t>
  </si>
  <si>
    <t>13:31:31</t>
  </si>
  <si>
    <t>148879</t>
  </si>
  <si>
    <t>Harris Logging LLC</t>
  </si>
  <si>
    <t>LZ Harris Logging - Davidson</t>
  </si>
  <si>
    <t>11293395</t>
  </si>
  <si>
    <t>13:42:53</t>
  </si>
  <si>
    <t>14:59:35</t>
  </si>
  <si>
    <t>121422</t>
  </si>
  <si>
    <t>PalletOne of North Carolina</t>
  </si>
  <si>
    <t>11296850</t>
  </si>
  <si>
    <t>04.05.2022</t>
  </si>
  <si>
    <t>8:59:45</t>
  </si>
  <si>
    <t>9:37:14</t>
  </si>
  <si>
    <t>11297842</t>
  </si>
  <si>
    <t>15:00:34</t>
  </si>
  <si>
    <t>15:39:53</t>
  </si>
  <si>
    <t>11295465</t>
  </si>
  <si>
    <t>5:43:46</t>
  </si>
  <si>
    <t>6:07:08</t>
  </si>
  <si>
    <t>11297752</t>
  </si>
  <si>
    <t>13:53:17</t>
  </si>
  <si>
    <t>14:42:49</t>
  </si>
  <si>
    <t>11293779</t>
  </si>
  <si>
    <t>4:08:54</t>
  </si>
  <si>
    <t>4:28:54</t>
  </si>
  <si>
    <t>11296275</t>
  </si>
  <si>
    <t>7:03:13</t>
  </si>
  <si>
    <t>7:24:16</t>
  </si>
  <si>
    <t>11296477</t>
  </si>
  <si>
    <t>7:41:27</t>
  </si>
  <si>
    <t>8:04:33</t>
  </si>
  <si>
    <t>11297464</t>
  </si>
  <si>
    <t>11:22:23</t>
  </si>
  <si>
    <t>11:51:23</t>
  </si>
  <si>
    <t>11297561</t>
  </si>
  <si>
    <t>12:07:14</t>
  </si>
  <si>
    <t>12:33:13</t>
  </si>
  <si>
    <t>11297959</t>
  </si>
  <si>
    <t>17:28:58</t>
  </si>
  <si>
    <t>17:47:34</t>
  </si>
  <si>
    <t>11295460</t>
  </si>
  <si>
    <t>5:09:13</t>
  </si>
  <si>
    <t>5:44:17</t>
  </si>
  <si>
    <t>132348</t>
  </si>
  <si>
    <t>Uwharrie Lumber Company</t>
  </si>
  <si>
    <t>11295463</t>
  </si>
  <si>
    <t>5:19:04</t>
  </si>
  <si>
    <t>5:41:40</t>
  </si>
  <si>
    <t>11297995</t>
  </si>
  <si>
    <t>18:42:04</t>
  </si>
  <si>
    <t>19:15:00</t>
  </si>
  <si>
    <t>11297868</t>
  </si>
  <si>
    <t>15:37:46</t>
  </si>
  <si>
    <t>16:13:51</t>
  </si>
  <si>
    <t>11297904</t>
  </si>
  <si>
    <t>16:13:22</t>
  </si>
  <si>
    <t>16:43:52</t>
  </si>
  <si>
    <t>11298012</t>
  </si>
  <si>
    <t>19:22:55</t>
  </si>
  <si>
    <t>20:06:20</t>
  </si>
  <si>
    <t>11297544</t>
  </si>
  <si>
    <t>11:54:21</t>
  </si>
  <si>
    <t>12:52:56</t>
  </si>
  <si>
    <t>11293773</t>
  </si>
  <si>
    <t>1:52:43</t>
  </si>
  <si>
    <t>2:31:56</t>
  </si>
  <si>
    <t>11296594</t>
  </si>
  <si>
    <t>8:05:44</t>
  </si>
  <si>
    <t>8:43:34</t>
  </si>
  <si>
    <t>11297648</t>
  </si>
  <si>
    <t>12:43:10</t>
  </si>
  <si>
    <t>13:34:19</t>
  </si>
  <si>
    <t>11297960</t>
  </si>
  <si>
    <t>17:33:13</t>
  </si>
  <si>
    <t>17:57:16</t>
  </si>
  <si>
    <t>11298033</t>
  </si>
  <si>
    <t>20:44:31</t>
  </si>
  <si>
    <t>21:02:06</t>
  </si>
  <si>
    <t>11298206</t>
  </si>
  <si>
    <t>23:54:26</t>
  </si>
  <si>
    <t>0:33:53</t>
  </si>
  <si>
    <t>11296798</t>
  </si>
  <si>
    <t>8:47:58</t>
  </si>
  <si>
    <t>9:14:25</t>
  </si>
  <si>
    <t>11298009</t>
  </si>
  <si>
    <t>19:07:40</t>
  </si>
  <si>
    <t>19:40:02</t>
  </si>
  <si>
    <t>11297550</t>
  </si>
  <si>
    <t>11:59:44</t>
  </si>
  <si>
    <t>12:24:07</t>
  </si>
  <si>
    <t>11297799</t>
  </si>
  <si>
    <t>14:14:12</t>
  </si>
  <si>
    <t>14:50:35</t>
  </si>
  <si>
    <t>11297448</t>
  </si>
  <si>
    <t>15:15:29</t>
  </si>
  <si>
    <t>15:51:58</t>
  </si>
  <si>
    <t>11293776</t>
  </si>
  <si>
    <t>2:07:43</t>
  </si>
  <si>
    <t>2:24:52</t>
  </si>
  <si>
    <t>LZ Pine Products - S</t>
  </si>
  <si>
    <t>11296344</t>
  </si>
  <si>
    <t>7:15:13</t>
  </si>
  <si>
    <t>7:58:33</t>
  </si>
  <si>
    <t>11297732</t>
  </si>
  <si>
    <t>13:38:56</t>
  </si>
  <si>
    <t>14:24:48</t>
  </si>
  <si>
    <t>11296018</t>
  </si>
  <si>
    <t>6:22:07</t>
  </si>
  <si>
    <t>6:54:42</t>
  </si>
  <si>
    <t>11297708</t>
  </si>
  <si>
    <t>13:23:47</t>
  </si>
  <si>
    <t>14:07:59</t>
  </si>
  <si>
    <t>11298056</t>
  </si>
  <si>
    <t>21:00:45</t>
  </si>
  <si>
    <t>21:26:52</t>
  </si>
  <si>
    <t>11297933</t>
  </si>
  <si>
    <t>17:10:49</t>
  </si>
  <si>
    <t>17:34:16</t>
  </si>
  <si>
    <t>11298034</t>
  </si>
  <si>
    <t>20:53:09</t>
  </si>
  <si>
    <t>21:15:37</t>
  </si>
  <si>
    <t>11295457</t>
  </si>
  <si>
    <t>4:39:56</t>
  </si>
  <si>
    <t>5:00:31</t>
  </si>
  <si>
    <t>11295941</t>
  </si>
  <si>
    <t>6:05:45</t>
  </si>
  <si>
    <t>6:28:27</t>
  </si>
  <si>
    <t>11297260</t>
  </si>
  <si>
    <t>10:25:05</t>
  </si>
  <si>
    <t>11:05:39</t>
  </si>
  <si>
    <t>11297659</t>
  </si>
  <si>
    <t>12:56:42</t>
  </si>
  <si>
    <t>13:40:22</t>
  </si>
  <si>
    <t>11297096</t>
  </si>
  <si>
    <t>9:43:47</t>
  </si>
  <si>
    <t>10:18:49</t>
  </si>
  <si>
    <t>11297924</t>
  </si>
  <si>
    <t>16:37:56</t>
  </si>
  <si>
    <t>17:20:22</t>
  </si>
  <si>
    <t>11297993</t>
  </si>
  <si>
    <t>18:37:06</t>
  </si>
  <si>
    <t>19:30:07</t>
  </si>
  <si>
    <t>11297511</t>
  </si>
  <si>
    <t>11:44:55</t>
  </si>
  <si>
    <t>12:26:00</t>
  </si>
  <si>
    <t>11295459</t>
  </si>
  <si>
    <t>4:55:27</t>
  </si>
  <si>
    <t>5:13:19</t>
  </si>
  <si>
    <t>11296506</t>
  </si>
  <si>
    <t>7:48:31</t>
  </si>
  <si>
    <t>8:29:05</t>
  </si>
  <si>
    <t>11297839</t>
  </si>
  <si>
    <t>14:57:44</t>
  </si>
  <si>
    <t>15:36:53</t>
  </si>
  <si>
    <t>11297935</t>
  </si>
  <si>
    <t>17:13:43</t>
  </si>
  <si>
    <t>17:44:00</t>
  </si>
  <si>
    <t>11296212</t>
  </si>
  <si>
    <t>6:50:57</t>
  </si>
  <si>
    <t>7:11:02</t>
  </si>
  <si>
    <t>11296994</t>
  </si>
  <si>
    <t>9:29:45</t>
  </si>
  <si>
    <t>9:56:05</t>
  </si>
  <si>
    <t>11297614</t>
  </si>
  <si>
    <t>12:31:05</t>
  </si>
  <si>
    <t>12:56:11</t>
  </si>
  <si>
    <t>11297903</t>
  </si>
  <si>
    <t>16:12:15</t>
  </si>
  <si>
    <t>16:33:26</t>
  </si>
  <si>
    <t>11297994</t>
  </si>
  <si>
    <t>18:38:03</t>
  </si>
  <si>
    <t>18:57:26</t>
  </si>
  <si>
    <t>11293781</t>
  </si>
  <si>
    <t>4:20:35</t>
  </si>
  <si>
    <t>4:43:54</t>
  </si>
  <si>
    <t>11295456</t>
  </si>
  <si>
    <t>4:30:21</t>
  </si>
  <si>
    <t>4:58:14</t>
  </si>
  <si>
    <t>11296481</t>
  </si>
  <si>
    <t>7:43:01</t>
  </si>
  <si>
    <t>8:01:36</t>
  </si>
  <si>
    <t>11296521</t>
  </si>
  <si>
    <t>7:54:09</t>
  </si>
  <si>
    <t>8:49:07</t>
  </si>
  <si>
    <t>11296683</t>
  </si>
  <si>
    <t>8:21:35</t>
  </si>
  <si>
    <t>8:46:45</t>
  </si>
  <si>
    <t>11297111</t>
  </si>
  <si>
    <t>9:48:58</t>
  </si>
  <si>
    <t>10:20:52</t>
  </si>
  <si>
    <t>11297358</t>
  </si>
  <si>
    <t>10:48:49</t>
  </si>
  <si>
    <t>11:17:05</t>
  </si>
  <si>
    <t>11297692</t>
  </si>
  <si>
    <t>13:18:36</t>
  </si>
  <si>
    <t>13:53:40</t>
  </si>
  <si>
    <t>11297747</t>
  </si>
  <si>
    <t>13:44:42</t>
  </si>
  <si>
    <t>14:30:29</t>
  </si>
  <si>
    <t>11297902</t>
  </si>
  <si>
    <t>16:06:02</t>
  </si>
  <si>
    <t>16:42:15</t>
  </si>
  <si>
    <t>11297046</t>
  </si>
  <si>
    <t>9:33:56</t>
  </si>
  <si>
    <t>10:06:10</t>
  </si>
  <si>
    <t>11297486</t>
  </si>
  <si>
    <t>11:35:00</t>
  </si>
  <si>
    <t>12:16:34</t>
  </si>
  <si>
    <t>11297494</t>
  </si>
  <si>
    <t>11:40:35</t>
  </si>
  <si>
    <t>12:31:28</t>
  </si>
  <si>
    <t>11297577</t>
  </si>
  <si>
    <t>12:10:01</t>
  </si>
  <si>
    <t>12:54:34</t>
  </si>
  <si>
    <t>11297709</t>
  </si>
  <si>
    <t>13:25:19</t>
  </si>
  <si>
    <t>14:17:10</t>
  </si>
  <si>
    <t>11297776</t>
  </si>
  <si>
    <t>13:59:40</t>
  </si>
  <si>
    <t>15:15:20</t>
  </si>
  <si>
    <t>11297803</t>
  </si>
  <si>
    <t>14:21:29</t>
  </si>
  <si>
    <t>15:13:08</t>
  </si>
  <si>
    <t>11297175</t>
  </si>
  <si>
    <t>10:05:11</t>
  </si>
  <si>
    <t>10:32:19</t>
  </si>
  <si>
    <t>11297751</t>
  </si>
  <si>
    <t>13:50:20</t>
  </si>
  <si>
    <t>14:48:56</t>
  </si>
  <si>
    <t>11297688</t>
  </si>
  <si>
    <t>13:14:05</t>
  </si>
  <si>
    <t>13:42:51</t>
  </si>
  <si>
    <t>11297899</t>
  </si>
  <si>
    <t>16:02:48</t>
  </si>
  <si>
    <t>16:54:19</t>
  </si>
  <si>
    <t>11297647</t>
  </si>
  <si>
    <t>12:41:26</t>
  </si>
  <si>
    <t>13:05:45</t>
  </si>
  <si>
    <t>11293777</t>
  </si>
  <si>
    <t>2:15:19</t>
  </si>
  <si>
    <t>2:39:55</t>
  </si>
  <si>
    <t>11295906</t>
  </si>
  <si>
    <t>6:00:06</t>
  </si>
  <si>
    <t>6:24:54</t>
  </si>
  <si>
    <t>11293774</t>
  </si>
  <si>
    <t>2:19:56</t>
  </si>
  <si>
    <t>11295958</t>
  </si>
  <si>
    <t>6:10:14</t>
  </si>
  <si>
    <t>6:58:28</t>
  </si>
  <si>
    <t>11297018</t>
  </si>
  <si>
    <t>9:31:56</t>
  </si>
  <si>
    <t>9:58:08</t>
  </si>
  <si>
    <t>11297205</t>
  </si>
  <si>
    <t>10:10:34</t>
  </si>
  <si>
    <t>11297817</t>
  </si>
  <si>
    <t>14:34:00</t>
  </si>
  <si>
    <t>15:23:33</t>
  </si>
  <si>
    <t>11298011</t>
  </si>
  <si>
    <t>19:14:23</t>
  </si>
  <si>
    <t>19:43:34</t>
  </si>
  <si>
    <t>11293778</t>
  </si>
  <si>
    <t>3:30:24</t>
  </si>
  <si>
    <t>3:52:55</t>
  </si>
  <si>
    <t>11295963</t>
  </si>
  <si>
    <t>6:12:02</t>
  </si>
  <si>
    <t>7:05:50</t>
  </si>
  <si>
    <t>11297695</t>
  </si>
  <si>
    <t>13:20:23</t>
  </si>
  <si>
    <t>14:06:04</t>
  </si>
  <si>
    <t>11297934</t>
  </si>
  <si>
    <t>17:12:02</t>
  </si>
  <si>
    <t>17:35:55</t>
  </si>
  <si>
    <t>11297987</t>
  </si>
  <si>
    <t>18:01:35</t>
  </si>
  <si>
    <t>18:42:48</t>
  </si>
  <si>
    <t>11297355</t>
  </si>
  <si>
    <t>11:32:42</t>
  </si>
  <si>
    <t>11:58:04</t>
  </si>
  <si>
    <t>11297468</t>
  </si>
  <si>
    <t>11:26:34</t>
  </si>
  <si>
    <t>11:49:45</t>
  </si>
  <si>
    <t>11297962</t>
  </si>
  <si>
    <t>17:39:57</t>
  </si>
  <si>
    <t>18:13:55</t>
  </si>
  <si>
    <t>11293775</t>
  </si>
  <si>
    <t>2:00:52</t>
  </si>
  <si>
    <t>2:28:35</t>
  </si>
  <si>
    <t>11293780</t>
  </si>
  <si>
    <t>4:18:42</t>
  </si>
  <si>
    <t>4:34:27</t>
  </si>
  <si>
    <t>11296049</t>
  </si>
  <si>
    <t>6:23:51</t>
  </si>
  <si>
    <t>7:20:07</t>
  </si>
  <si>
    <t>148930</t>
  </si>
  <si>
    <t>Shoun Lumber LLC</t>
  </si>
  <si>
    <t>11296829</t>
  </si>
  <si>
    <t>8:56:22</t>
  </si>
  <si>
    <t>9:34:26</t>
  </si>
  <si>
    <t>11297564</t>
  </si>
  <si>
    <t>12:08:37</t>
  </si>
  <si>
    <t>13:08:01</t>
  </si>
  <si>
    <t>11297840</t>
  </si>
  <si>
    <t>14:59:04</t>
  </si>
  <si>
    <t>15:32:21</t>
  </si>
  <si>
    <t>11296364</t>
  </si>
  <si>
    <t>7:17:21</t>
  </si>
  <si>
    <t>7:55:44</t>
  </si>
  <si>
    <t>11297115</t>
  </si>
  <si>
    <t>9:50:35</t>
  </si>
  <si>
    <t>10:27:34</t>
  </si>
  <si>
    <t>11297866</t>
  </si>
  <si>
    <t>15:35:06</t>
  </si>
  <si>
    <t>15:59:20</t>
  </si>
  <si>
    <t>11295462</t>
  </si>
  <si>
    <t>5:17:25</t>
  </si>
  <si>
    <t>5:46:26</t>
  </si>
  <si>
    <t>11297690</t>
  </si>
  <si>
    <t>13:16:23</t>
  </si>
  <si>
    <t>13:55:56</t>
  </si>
  <si>
    <t>135535</t>
  </si>
  <si>
    <t>Roten Tie and Timber</t>
  </si>
  <si>
    <t>11297509</t>
  </si>
  <si>
    <t>Ash</t>
  </si>
  <si>
    <t>11:42:06</t>
  </si>
  <si>
    <t>12:10:40</t>
  </si>
  <si>
    <t>11297541</t>
  </si>
  <si>
    <t>11:52:37</t>
  </si>
  <si>
    <t>12:35:14</t>
  </si>
  <si>
    <t>11296490</t>
  </si>
  <si>
    <t>7:46:40</t>
  </si>
  <si>
    <t>8:14:41</t>
  </si>
  <si>
    <t>11297238</t>
  </si>
  <si>
    <t>10:20:06</t>
  </si>
  <si>
    <t>11:00:42</t>
  </si>
  <si>
    <t>11297843</t>
  </si>
  <si>
    <t>15:02:05</t>
  </si>
  <si>
    <t>15:45:23</t>
  </si>
  <si>
    <t>11295464</t>
  </si>
  <si>
    <t>5:41:15</t>
  </si>
  <si>
    <t>6:02:33</t>
  </si>
  <si>
    <t>11296227</t>
  </si>
  <si>
    <t>6:54:18</t>
  </si>
  <si>
    <t>7:34:37</t>
  </si>
  <si>
    <t>11295461</t>
  </si>
  <si>
    <t>5:14:20</t>
  </si>
  <si>
    <t>5:29:38</t>
  </si>
  <si>
    <t>11297321</t>
  </si>
  <si>
    <t>10:42:02</t>
  </si>
  <si>
    <t>11:02:48</t>
  </si>
  <si>
    <t>11297537</t>
  </si>
  <si>
    <t>11:51:10</t>
  </si>
  <si>
    <t>12:47:55</t>
  </si>
  <si>
    <t>11297302</t>
  </si>
  <si>
    <t>10:35:59</t>
  </si>
  <si>
    <t>11:35:29</t>
  </si>
  <si>
    <t>11297584</t>
  </si>
  <si>
    <t>12:18:10</t>
  </si>
  <si>
    <t>13:15:19</t>
  </si>
  <si>
    <t>11295458</t>
  </si>
  <si>
    <t>4:52:45</t>
  </si>
  <si>
    <t>5:11:14</t>
  </si>
  <si>
    <t>141463</t>
  </si>
  <si>
    <t>Gold Creek Inc</t>
  </si>
  <si>
    <t>LZ-Gold Creek-Yadkinville</t>
  </si>
  <si>
    <t>11297922</t>
  </si>
  <si>
    <t>16:34:51</t>
  </si>
  <si>
    <t>17:02:17</t>
  </si>
  <si>
    <t>11297234</t>
  </si>
  <si>
    <t>10:18:14</t>
  </si>
  <si>
    <t>10:37:05</t>
  </si>
  <si>
    <t>11297301</t>
  </si>
  <si>
    <t>10:34:09</t>
  </si>
  <si>
    <t>11:19:32</t>
  </si>
  <si>
    <t>11297819</t>
  </si>
  <si>
    <t>14:37:24</t>
  </si>
  <si>
    <t>15:03:06</t>
  </si>
  <si>
    <t>11297916</t>
  </si>
  <si>
    <t>16:15:07</t>
  </si>
  <si>
    <t>16:47:22</t>
  </si>
  <si>
    <t>11300810</t>
  </si>
  <si>
    <t>05.05.2022</t>
  </si>
  <si>
    <t>7:45:08</t>
  </si>
  <si>
    <t>8:55:32</t>
  </si>
  <si>
    <t>11300954</t>
  </si>
  <si>
    <t>8:18:55</t>
  </si>
  <si>
    <t>8:55:10</t>
  </si>
  <si>
    <t>11301802</t>
  </si>
  <si>
    <t>11:10:21</t>
  </si>
  <si>
    <t>12:19:56</t>
  </si>
  <si>
    <t>11302098</t>
  </si>
  <si>
    <t>14:18:54</t>
  </si>
  <si>
    <t>14:52:22</t>
  </si>
  <si>
    <t>11302099</t>
  </si>
  <si>
    <t>14:21:00</t>
  </si>
  <si>
    <t>15:01:08</t>
  </si>
  <si>
    <t>11302100</t>
  </si>
  <si>
    <t>14:42:03</t>
  </si>
  <si>
    <t>15:14:30</t>
  </si>
  <si>
    <t>11300259</t>
  </si>
  <si>
    <t>5:27:53</t>
  </si>
  <si>
    <t>5:47:46</t>
  </si>
  <si>
    <t>11300354</t>
  </si>
  <si>
    <t>5:47:14</t>
  </si>
  <si>
    <t>6:11:13</t>
  </si>
  <si>
    <t>11301405</t>
  </si>
  <si>
    <t>9:49:57</t>
  </si>
  <si>
    <t>10:15:44</t>
  </si>
  <si>
    <t>11302176</t>
  </si>
  <si>
    <t>15:54:50</t>
  </si>
  <si>
    <t>11300501</t>
  </si>
  <si>
    <t>6:23:33</t>
  </si>
  <si>
    <t>7:00:49</t>
  </si>
  <si>
    <t>11302091</t>
  </si>
  <si>
    <t>13:23:25</t>
  </si>
  <si>
    <t>13:55:03</t>
  </si>
  <si>
    <t>11302273</t>
  </si>
  <si>
    <t>17:52:44</t>
  </si>
  <si>
    <t>18:29:30</t>
  </si>
  <si>
    <t>11301621</t>
  </si>
  <si>
    <t>10:22:25</t>
  </si>
  <si>
    <t>11300185</t>
  </si>
  <si>
    <t>5:30:46</t>
  </si>
  <si>
    <t>11301743</t>
  </si>
  <si>
    <t>10:51:29</t>
  </si>
  <si>
    <t>11:22:19</t>
  </si>
  <si>
    <t>121427</t>
  </si>
  <si>
    <t>High Country Lumber and Mulch LLC</t>
  </si>
  <si>
    <t>11300808</t>
  </si>
  <si>
    <t>7:25:22</t>
  </si>
  <si>
    <t>7:51:24</t>
  </si>
  <si>
    <t>11301805</t>
  </si>
  <si>
    <t>11:28:09</t>
  </si>
  <si>
    <t>11:53:13</t>
  </si>
  <si>
    <t>11302173</t>
  </si>
  <si>
    <t>14:56:02</t>
  </si>
  <si>
    <t>15:16:20</t>
  </si>
  <si>
    <t>11301628</t>
  </si>
  <si>
    <t>10:57:06</t>
  </si>
  <si>
    <t>11:38:14</t>
  </si>
  <si>
    <t>11300509</t>
  </si>
  <si>
    <t>7:19:34</t>
  </si>
  <si>
    <t>8:03:40</t>
  </si>
  <si>
    <t>11302092</t>
  </si>
  <si>
    <t>13:31:03</t>
  </si>
  <si>
    <t>14:12:00</t>
  </si>
  <si>
    <t>11300503</t>
  </si>
  <si>
    <t>6:48:23</t>
  </si>
  <si>
    <t>7:18:41</t>
  </si>
  <si>
    <t>11301404</t>
  </si>
  <si>
    <t>9:36:49</t>
  </si>
  <si>
    <t>10:05:06</t>
  </si>
  <si>
    <t>11302178</t>
  </si>
  <si>
    <t>15:28:34</t>
  </si>
  <si>
    <t>16:07:14</t>
  </si>
  <si>
    <t>11300955</t>
  </si>
  <si>
    <t>8:32:18</t>
  </si>
  <si>
    <t>8:58:32</t>
  </si>
  <si>
    <t>11299329</t>
  </si>
  <si>
    <t>3:10:43</t>
  </si>
  <si>
    <t>3:27:13</t>
  </si>
  <si>
    <t>11300809</t>
  </si>
  <si>
    <t>7:26:45</t>
  </si>
  <si>
    <t>8:13:37</t>
  </si>
  <si>
    <t>11301801</t>
  </si>
  <si>
    <t>11:09:01</t>
  </si>
  <si>
    <t>12:14:23</t>
  </si>
  <si>
    <t>11302249</t>
  </si>
  <si>
    <t>17:19:46</t>
  </si>
  <si>
    <t>17:46:15</t>
  </si>
  <si>
    <t>11302363</t>
  </si>
  <si>
    <t>20:29:19</t>
  </si>
  <si>
    <t>20:47:02</t>
  </si>
  <si>
    <t>11302497</t>
  </si>
  <si>
    <t>23:27:36</t>
  </si>
  <si>
    <t>24:09:40</t>
  </si>
  <si>
    <t>11298705</t>
  </si>
  <si>
    <t>2:05:00</t>
  </si>
  <si>
    <t>2:30:20</t>
  </si>
  <si>
    <t>11300111</t>
  </si>
  <si>
    <t>4:54:36</t>
  </si>
  <si>
    <t>5:23:43</t>
  </si>
  <si>
    <t>11300951</t>
  </si>
  <si>
    <t>7:46:37</t>
  </si>
  <si>
    <t>8:17:53</t>
  </si>
  <si>
    <t>11301626</t>
  </si>
  <si>
    <t>10:53:23</t>
  </si>
  <si>
    <t>11:20:00</t>
  </si>
  <si>
    <t>11302367</t>
  </si>
  <si>
    <t>20:46:28</t>
  </si>
  <si>
    <t>21:06:15</t>
  </si>
  <si>
    <t>11302523</t>
  </si>
  <si>
    <t>23:43:50</t>
  </si>
  <si>
    <t>24:07:44</t>
  </si>
  <si>
    <t>11300095</t>
  </si>
  <si>
    <t>4:53:00</t>
  </si>
  <si>
    <t>5:12:32</t>
  </si>
  <si>
    <t>11301185</t>
  </si>
  <si>
    <t>8:38:29</t>
  </si>
  <si>
    <t>9:09:11</t>
  </si>
  <si>
    <t>11302095</t>
  </si>
  <si>
    <t>13:54:02</t>
  </si>
  <si>
    <t>14:19:27</t>
  </si>
  <si>
    <t>11302093</t>
  </si>
  <si>
    <t>13:50:38</t>
  </si>
  <si>
    <t>14:21:28</t>
  </si>
  <si>
    <t>11300508</t>
  </si>
  <si>
    <t>7:18:36</t>
  </si>
  <si>
    <t>7:49:52</t>
  </si>
  <si>
    <t>11302271</t>
  </si>
  <si>
    <t>17:26:21</t>
  </si>
  <si>
    <t>18:09:50</t>
  </si>
  <si>
    <t>11297005</t>
  </si>
  <si>
    <t>6:21:54</t>
  </si>
  <si>
    <t>6:43:32</t>
  </si>
  <si>
    <t>11300200</t>
  </si>
  <si>
    <t>5:19:38</t>
  </si>
  <si>
    <t>5:44:11</t>
  </si>
  <si>
    <t>11301627</t>
  </si>
  <si>
    <t>10:55:13</t>
  </si>
  <si>
    <t>11:24:48</t>
  </si>
  <si>
    <t>11302250</t>
  </si>
  <si>
    <t>17:21:38</t>
  </si>
  <si>
    <t>17:53:06</t>
  </si>
  <si>
    <t>11302382</t>
  </si>
  <si>
    <t>21:09:33</t>
  </si>
  <si>
    <t>21:30:42</t>
  </si>
  <si>
    <t>11301808</t>
  </si>
  <si>
    <t>11:40:59</t>
  </si>
  <si>
    <t>12:31:54</t>
  </si>
  <si>
    <t>11302272</t>
  </si>
  <si>
    <t>17:28:09</t>
  </si>
  <si>
    <t>18:11:31</t>
  </si>
  <si>
    <t>11299992</t>
  </si>
  <si>
    <t>4:33:58</t>
  </si>
  <si>
    <t>4:58:24</t>
  </si>
  <si>
    <t>11300417</t>
  </si>
  <si>
    <t>6:00:12</t>
  </si>
  <si>
    <t>6:24:06</t>
  </si>
  <si>
    <t>11301630</t>
  </si>
  <si>
    <t>11:00:26</t>
  </si>
  <si>
    <t>11:47:39</t>
  </si>
  <si>
    <t>11302097</t>
  </si>
  <si>
    <t>14:17:19</t>
  </si>
  <si>
    <t>14:44:44</t>
  </si>
  <si>
    <t>11300504</t>
  </si>
  <si>
    <t>7:37:26</t>
  </si>
  <si>
    <t>11301622</t>
  </si>
  <si>
    <t>10:23:59</t>
  </si>
  <si>
    <t>10:57:45</t>
  </si>
  <si>
    <t>11302172</t>
  </si>
  <si>
    <t>14:51:38</t>
  </si>
  <si>
    <t>15:34:44</t>
  </si>
  <si>
    <t>11300191</t>
  </si>
  <si>
    <t>5:15:08</t>
  </si>
  <si>
    <t>5:32:23</t>
  </si>
  <si>
    <t>11300502</t>
  </si>
  <si>
    <t>6:29:30</t>
  </si>
  <si>
    <t>7:07:10</t>
  </si>
  <si>
    <t>11300806</t>
  </si>
  <si>
    <t>7:22:40</t>
  </si>
  <si>
    <t>7:47:21</t>
  </si>
  <si>
    <t>11301406</t>
  </si>
  <si>
    <t>9:56:12</t>
  </si>
  <si>
    <t>10:34:08</t>
  </si>
  <si>
    <t>11301919</t>
  </si>
  <si>
    <t>13:18:07</t>
  </si>
  <si>
    <t>13:42:08</t>
  </si>
  <si>
    <t>11302171</t>
  </si>
  <si>
    <t>14:44:04</t>
  </si>
  <si>
    <t>15:02:49</t>
  </si>
  <si>
    <t>11302243</t>
  </si>
  <si>
    <t>16:28:28</t>
  </si>
  <si>
    <t>16:57:11</t>
  </si>
  <si>
    <t>11302285</t>
  </si>
  <si>
    <t>17:43:09</t>
  </si>
  <si>
    <t>17:57:23</t>
  </si>
  <si>
    <t>11300639</t>
  </si>
  <si>
    <t>6:53:35</t>
  </si>
  <si>
    <t>7:12:55</t>
  </si>
  <si>
    <t>11300960</t>
  </si>
  <si>
    <t>9:26:49</t>
  </si>
  <si>
    <t>9:49:26</t>
  </si>
  <si>
    <t>11301913</t>
  </si>
  <si>
    <t>11:55:38</t>
  </si>
  <si>
    <t>12:28:13</t>
  </si>
  <si>
    <t>11301914</t>
  </si>
  <si>
    <t>12:34:53</t>
  </si>
  <si>
    <t>13:03:45</t>
  </si>
  <si>
    <t>11302175</t>
  </si>
  <si>
    <t>15:12:06</t>
  </si>
  <si>
    <t>15:37:43</t>
  </si>
  <si>
    <t>11302177</t>
  </si>
  <si>
    <t>15:25:18</t>
  </si>
  <si>
    <t>15:46:36</t>
  </si>
  <si>
    <t>11302287</t>
  </si>
  <si>
    <t>18:02:17</t>
  </si>
  <si>
    <t>18:26:28</t>
  </si>
  <si>
    <t>11302364</t>
  </si>
  <si>
    <t>20:30:43</t>
  </si>
  <si>
    <t>20:50:03</t>
  </si>
  <si>
    <t>11299944</t>
  </si>
  <si>
    <t>4:41:12</t>
  </si>
  <si>
    <t>11300221</t>
  </si>
  <si>
    <t>5:23:25</t>
  </si>
  <si>
    <t>11300807</t>
  </si>
  <si>
    <t>7:24:09</t>
  </si>
  <si>
    <t>8:00:09</t>
  </si>
  <si>
    <t>11300953</t>
  </si>
  <si>
    <t>8:12:40</t>
  </si>
  <si>
    <t>8:29:57</t>
  </si>
  <si>
    <t>11301403</t>
  </si>
  <si>
    <t>9:34:16</t>
  </si>
  <si>
    <t>10:25:07</t>
  </si>
  <si>
    <t>11301803</t>
  </si>
  <si>
    <t>11:12:01</t>
  </si>
  <si>
    <t>11:41:41</t>
  </si>
  <si>
    <t>11301807</t>
  </si>
  <si>
    <t>11:39:22</t>
  </si>
  <si>
    <t>12:18:21</t>
  </si>
  <si>
    <t>11301407</t>
  </si>
  <si>
    <t>9:58:47</t>
  </si>
  <si>
    <t>10:45:44</t>
  </si>
  <si>
    <t>11301920</t>
  </si>
  <si>
    <t>13:21:14</t>
  </si>
  <si>
    <t>13:48:01</t>
  </si>
  <si>
    <t>11297002</t>
  </si>
  <si>
    <t>6:10:11</t>
  </si>
  <si>
    <t>6:34:53</t>
  </si>
  <si>
    <t>11300957</t>
  </si>
  <si>
    <t>8:53:41</t>
  </si>
  <si>
    <t>9:22:01</t>
  </si>
  <si>
    <t>11300958</t>
  </si>
  <si>
    <t>8:56:49</t>
  </si>
  <si>
    <t>9:28:58</t>
  </si>
  <si>
    <t>11301292</t>
  </si>
  <si>
    <t>9:09:48</t>
  </si>
  <si>
    <t>10:02:52</t>
  </si>
  <si>
    <t>11301624</t>
  </si>
  <si>
    <t>10:38:28</t>
  </si>
  <si>
    <t>11:32:26</t>
  </si>
  <si>
    <t>11301806</t>
  </si>
  <si>
    <t>11:30:05</t>
  </si>
  <si>
    <t>11:57:57</t>
  </si>
  <si>
    <t>11301809</t>
  </si>
  <si>
    <t>11:50:08</t>
  </si>
  <si>
    <t>12:26:35</t>
  </si>
  <si>
    <t>11301810</t>
  </si>
  <si>
    <t>11:51:19</t>
  </si>
  <si>
    <t>12:29:38</t>
  </si>
  <si>
    <t>11302094</t>
  </si>
  <si>
    <t>13:52:26</t>
  </si>
  <si>
    <t>14:14:06</t>
  </si>
  <si>
    <t>11302096</t>
  </si>
  <si>
    <t>14:07:58</t>
  </si>
  <si>
    <t>14:43:05</t>
  </si>
  <si>
    <t>11300338</t>
  </si>
  <si>
    <t>5:45:38</t>
  </si>
  <si>
    <t>11301911</t>
  </si>
  <si>
    <t>11:52:42</t>
  </si>
  <si>
    <t>12:40:58</t>
  </si>
  <si>
    <t>11301916</t>
  </si>
  <si>
    <t>12:48:29</t>
  </si>
  <si>
    <t>13:13:13</t>
  </si>
  <si>
    <t>11302180</t>
  </si>
  <si>
    <t>16:14:10</t>
  </si>
  <si>
    <t>16:36:33</t>
  </si>
  <si>
    <t>11302245</t>
  </si>
  <si>
    <t>17:06:01</t>
  </si>
  <si>
    <t>17:28:29</t>
  </si>
  <si>
    <t>11300252</t>
  </si>
  <si>
    <t>5:25:55</t>
  </si>
  <si>
    <t>5:55:10</t>
  </si>
  <si>
    <t>11301912</t>
  </si>
  <si>
    <t>11:54:23</t>
  </si>
  <si>
    <t>12:52:50</t>
  </si>
  <si>
    <t>11297003</t>
  </si>
  <si>
    <t>6:13:05</t>
  </si>
  <si>
    <t>6:45:34</t>
  </si>
  <si>
    <t>11301253</t>
  </si>
  <si>
    <t>8:53:03</t>
  </si>
  <si>
    <t>9:13:22</t>
  </si>
  <si>
    <t>11302365</t>
  </si>
  <si>
    <t>20:40:42</t>
  </si>
  <si>
    <t>21:18:40</t>
  </si>
  <si>
    <t>11298666</t>
  </si>
  <si>
    <t>1:52:10</t>
  </si>
  <si>
    <t>2:12:20</t>
  </si>
  <si>
    <t>11301409</t>
  </si>
  <si>
    <t>10:15:08</t>
  </si>
  <si>
    <t>10:55:19</t>
  </si>
  <si>
    <t>11302324</t>
  </si>
  <si>
    <t>18:42:58</t>
  </si>
  <si>
    <t>19:02:24</t>
  </si>
  <si>
    <t>11302504</t>
  </si>
  <si>
    <t>23:33:13</t>
  </si>
  <si>
    <t>23:58:03</t>
  </si>
  <si>
    <t>11302289</t>
  </si>
  <si>
    <t>18:24:02</t>
  </si>
  <si>
    <t>18:58:21</t>
  </si>
  <si>
    <t>11302398</t>
  </si>
  <si>
    <t>22:41:42</t>
  </si>
  <si>
    <t>23:06:24</t>
  </si>
  <si>
    <t>11297004</t>
  </si>
  <si>
    <t>6:17:09</t>
  </si>
  <si>
    <t>11299547</t>
  </si>
  <si>
    <t>3:29:28</t>
  </si>
  <si>
    <t>3:55:27</t>
  </si>
  <si>
    <t>11300335</t>
  </si>
  <si>
    <t>5:43:54</t>
  </si>
  <si>
    <t>6:08:47</t>
  </si>
  <si>
    <t>11301410</t>
  </si>
  <si>
    <t>10:17:59</t>
  </si>
  <si>
    <t>11:06:38</t>
  </si>
  <si>
    <t>11301623</t>
  </si>
  <si>
    <t>10:25:38</t>
  </si>
  <si>
    <t>11:17:55</t>
  </si>
  <si>
    <t>11302242</t>
  </si>
  <si>
    <t>16:26:05</t>
  </si>
  <si>
    <t>16:45:15</t>
  </si>
  <si>
    <t>11300959</t>
  </si>
  <si>
    <t>9:00:22</t>
  </si>
  <si>
    <t>9:47:25</t>
  </si>
  <si>
    <t>11301917</t>
  </si>
  <si>
    <t>12:58:10</t>
  </si>
  <si>
    <t>13:35:54</t>
  </si>
  <si>
    <t>11302244</t>
  </si>
  <si>
    <t>16:33:27</t>
  </si>
  <si>
    <t>11302248</t>
  </si>
  <si>
    <t>17:17:53</t>
  </si>
  <si>
    <t>17:44:31</t>
  </si>
  <si>
    <t>11301629</t>
  </si>
  <si>
    <t>10:58:45</t>
  </si>
  <si>
    <t>11:51:53</t>
  </si>
  <si>
    <t>11299538</t>
  </si>
  <si>
    <t>3:24:32</t>
  </si>
  <si>
    <t>3:46:07</t>
  </si>
  <si>
    <t>11300952</t>
  </si>
  <si>
    <t>7:49:31</t>
  </si>
  <si>
    <t>8:15:57</t>
  </si>
  <si>
    <t>11301401</t>
  </si>
  <si>
    <t>9:30:01</t>
  </si>
  <si>
    <t>10:18:45</t>
  </si>
  <si>
    <t>11301402</t>
  </si>
  <si>
    <t>9:32:37</t>
  </si>
  <si>
    <t>10:21:05</t>
  </si>
  <si>
    <t>11302330</t>
  </si>
  <si>
    <t>19:11:36</t>
  </si>
  <si>
    <t>19:37:03</t>
  </si>
  <si>
    <t>11300053</t>
  </si>
  <si>
    <t>4:44:31</t>
  </si>
  <si>
    <t>5:03:45</t>
  </si>
  <si>
    <t>11300165</t>
  </si>
  <si>
    <t>5:05:09</t>
  </si>
  <si>
    <t>5:21:48</t>
  </si>
  <si>
    <t>141740</t>
  </si>
  <si>
    <t>Darrell Brian Garrett</t>
  </si>
  <si>
    <t>Garrett Logging - Rockingham</t>
  </si>
  <si>
    <t>11300507</t>
  </si>
  <si>
    <t>7:16:00</t>
  </si>
  <si>
    <t>7:39:45</t>
  </si>
  <si>
    <t>11301625</t>
  </si>
  <si>
    <t>10:49:26</t>
  </si>
  <si>
    <t>11:39:58</t>
  </si>
  <si>
    <t>11302174</t>
  </si>
  <si>
    <t>15:39:41</t>
  </si>
  <si>
    <t>11301915</t>
  </si>
  <si>
    <t>12:46:37</t>
  </si>
  <si>
    <t>13:08:53</t>
  </si>
  <si>
    <t>11302246</t>
  </si>
  <si>
    <t>17:08:38</t>
  </si>
  <si>
    <t>17:30:25</t>
  </si>
  <si>
    <t>11324902</t>
  </si>
  <si>
    <t>13.05.2022</t>
  </si>
  <si>
    <t>5:37:26</t>
  </si>
  <si>
    <t>5:59:30</t>
  </si>
  <si>
    <t>11326062</t>
  </si>
  <si>
    <t>10:07:55</t>
  </si>
  <si>
    <t>10:36:46</t>
  </si>
  <si>
    <t>11326324</t>
  </si>
  <si>
    <t>11:52:36</t>
  </si>
  <si>
    <t>12:19:47</t>
  </si>
  <si>
    <t>11326429</t>
  </si>
  <si>
    <t>13:25:01</t>
  </si>
  <si>
    <t>13:50:31</t>
  </si>
  <si>
    <t>131973</t>
  </si>
  <si>
    <t>Shaver Wood Products LLC</t>
  </si>
  <si>
    <t>11325994</t>
  </si>
  <si>
    <t>7:52:00</t>
  </si>
  <si>
    <t>8:23:00</t>
  </si>
  <si>
    <t>11326015</t>
  </si>
  <si>
    <t>7:55:00</t>
  </si>
  <si>
    <t>11326078</t>
  </si>
  <si>
    <t>21:30:02</t>
  </si>
  <si>
    <t>21:58:38</t>
  </si>
  <si>
    <t>11326033</t>
  </si>
  <si>
    <t>8:43:00</t>
  </si>
  <si>
    <t>9:17:00</t>
  </si>
  <si>
    <t>11326374</t>
  </si>
  <si>
    <t>12:30:04</t>
  </si>
  <si>
    <t>13:06:34</t>
  </si>
  <si>
    <t>11325840</t>
  </si>
  <si>
    <t>9:19:08</t>
  </si>
  <si>
    <t>9:52:39</t>
  </si>
  <si>
    <t>11326038</t>
  </si>
  <si>
    <t>7:45:00</t>
  </si>
  <si>
    <t>8:14:00</t>
  </si>
  <si>
    <t>11324468</t>
  </si>
  <si>
    <t>4:15:14</t>
  </si>
  <si>
    <t>4:35:26</t>
  </si>
  <si>
    <t>11325995</t>
  </si>
  <si>
    <t>8:53:00</t>
  </si>
  <si>
    <t>11326498</t>
  </si>
  <si>
    <t>14:28:50</t>
  </si>
  <si>
    <t>14:53:16</t>
  </si>
  <si>
    <t>11325231</t>
  </si>
  <si>
    <t>6:44:17</t>
  </si>
  <si>
    <t>7:06:31</t>
  </si>
  <si>
    <t>11323972</t>
  </si>
  <si>
    <t>2:29:45</t>
  </si>
  <si>
    <t>2:56:49</t>
  </si>
  <si>
    <t>11325050</t>
  </si>
  <si>
    <t>6:08:24</t>
  </si>
  <si>
    <t>6:41:58</t>
  </si>
  <si>
    <t>11325309</t>
  </si>
  <si>
    <t>7:30:00</t>
  </si>
  <si>
    <t>11326014</t>
  </si>
  <si>
    <t>9:57:49</t>
  </si>
  <si>
    <t>10:25:37</t>
  </si>
  <si>
    <t>11326116</t>
  </si>
  <si>
    <t>10:23:16</t>
  </si>
  <si>
    <t>10:48:17</t>
  </si>
  <si>
    <t>11326392</t>
  </si>
  <si>
    <t>12:37:45</t>
  </si>
  <si>
    <t>13:09:22</t>
  </si>
  <si>
    <t>11326494</t>
  </si>
  <si>
    <t>14:23:23</t>
  </si>
  <si>
    <t>14:48:59</t>
  </si>
  <si>
    <t>11323583</t>
  </si>
  <si>
    <t>1:03:24</t>
  </si>
  <si>
    <t>1:24:08</t>
  </si>
  <si>
    <t>11325837</t>
  </si>
  <si>
    <t>9:15:19</t>
  </si>
  <si>
    <t>9:39:34</t>
  </si>
  <si>
    <t>11326280</t>
  </si>
  <si>
    <t>11:27:39</t>
  </si>
  <si>
    <t>11:49:28</t>
  </si>
  <si>
    <t>11326576</t>
  </si>
  <si>
    <t>16:03:47</t>
  </si>
  <si>
    <t>16:26:16</t>
  </si>
  <si>
    <t>11325255</t>
  </si>
  <si>
    <t>6:51:09</t>
  </si>
  <si>
    <t>7:18:56</t>
  </si>
  <si>
    <t>11326021</t>
  </si>
  <si>
    <t>8:03:00</t>
  </si>
  <si>
    <t>11326077</t>
  </si>
  <si>
    <t>21:06:33</t>
  </si>
  <si>
    <t>21:25:58</t>
  </si>
  <si>
    <t>11326605</t>
  </si>
  <si>
    <t>17:32:56</t>
  </si>
  <si>
    <t>17:52:08</t>
  </si>
  <si>
    <t>11326157</t>
  </si>
  <si>
    <t>10:46:38</t>
  </si>
  <si>
    <t>11:21:43</t>
  </si>
  <si>
    <t>11324289</t>
  </si>
  <si>
    <t>4:06:11</t>
  </si>
  <si>
    <t>4:25:50</t>
  </si>
  <si>
    <t>11324648</t>
  </si>
  <si>
    <t>5:07:35</t>
  </si>
  <si>
    <t>5:26:34</t>
  </si>
  <si>
    <t>11325182</t>
  </si>
  <si>
    <t>6:31:27</t>
  </si>
  <si>
    <t>6:51:40</t>
  </si>
  <si>
    <t>11326032</t>
  </si>
  <si>
    <t>8:06:00</t>
  </si>
  <si>
    <t>8:37:00</t>
  </si>
  <si>
    <t>11326155</t>
  </si>
  <si>
    <t>10:44:39</t>
  </si>
  <si>
    <t>11:03:12</t>
  </si>
  <si>
    <t>11324523</t>
  </si>
  <si>
    <t>4:20:23</t>
  </si>
  <si>
    <t>4:39:00</t>
  </si>
  <si>
    <t>11325238</t>
  </si>
  <si>
    <t>6:46:56</t>
  </si>
  <si>
    <t>7:04:50</t>
  </si>
  <si>
    <t>11325322</t>
  </si>
  <si>
    <t>7:15:00</t>
  </si>
  <si>
    <t>7:34:00</t>
  </si>
  <si>
    <t>11325902</t>
  </si>
  <si>
    <t>9:29:24</t>
  </si>
  <si>
    <t>9:49:11</t>
  </si>
  <si>
    <t>11325941</t>
  </si>
  <si>
    <t>9:42:12</t>
  </si>
  <si>
    <t>10:19:32</t>
  </si>
  <si>
    <t>11325964</t>
  </si>
  <si>
    <t>9:44:10</t>
  </si>
  <si>
    <t>10:28:33</t>
  </si>
  <si>
    <t>11326335</t>
  </si>
  <si>
    <t>12:07:28</t>
  </si>
  <si>
    <t>12:31:51</t>
  </si>
  <si>
    <t>11326457</t>
  </si>
  <si>
    <t>13:42:38</t>
  </si>
  <si>
    <t>14:02:50</t>
  </si>
  <si>
    <t>11326481</t>
  </si>
  <si>
    <t>14:15:37</t>
  </si>
  <si>
    <t>14:38:21</t>
  </si>
  <si>
    <t>11324371</t>
  </si>
  <si>
    <t>8:53:23</t>
  </si>
  <si>
    <t>9:44:27</t>
  </si>
  <si>
    <t>11326016</t>
  </si>
  <si>
    <t>8:22:00</t>
  </si>
  <si>
    <t>9:12:00</t>
  </si>
  <si>
    <t>11326196</t>
  </si>
  <si>
    <t>10:56:45</t>
  </si>
  <si>
    <t>11:30:53</t>
  </si>
  <si>
    <t>11326393</t>
  </si>
  <si>
    <t>12:40:00</t>
  </si>
  <si>
    <t>13:00:45</t>
  </si>
  <si>
    <t>11326557</t>
  </si>
  <si>
    <t>15:38:59</t>
  </si>
  <si>
    <t>16:15:27</t>
  </si>
  <si>
    <t>11323590</t>
  </si>
  <si>
    <t>1:23:21</t>
  </si>
  <si>
    <t>1:36:34</t>
  </si>
  <si>
    <t>11324470</t>
  </si>
  <si>
    <t>4:17:27</t>
  </si>
  <si>
    <t>4:32:58</t>
  </si>
  <si>
    <t>11324887</t>
  </si>
  <si>
    <t>5:35:08</t>
  </si>
  <si>
    <t>5:57:21</t>
  </si>
  <si>
    <t>11326395</t>
  </si>
  <si>
    <t>12:42:05</t>
  </si>
  <si>
    <t>13:14:55</t>
  </si>
  <si>
    <t>11326019</t>
  </si>
  <si>
    <t>8:42:00</t>
  </si>
  <si>
    <t>9:33:00</t>
  </si>
  <si>
    <t>11324907</t>
  </si>
  <si>
    <t>5:47:04</t>
  </si>
  <si>
    <t>6:10:57</t>
  </si>
  <si>
    <t>11326501</t>
  </si>
  <si>
    <t>14:37:33</t>
  </si>
  <si>
    <t>15:10:46</t>
  </si>
  <si>
    <t>134196</t>
  </si>
  <si>
    <t>Turman Sawmill Inc.</t>
  </si>
  <si>
    <t>11325981</t>
  </si>
  <si>
    <t>8:17:00</t>
  </si>
  <si>
    <t>8:59:00</t>
  </si>
  <si>
    <t>11326549</t>
  </si>
  <si>
    <t>15:18:30</t>
  </si>
  <si>
    <t>16:03:31</t>
  </si>
  <si>
    <t>11323535</t>
  </si>
  <si>
    <t>0:47:47</t>
  </si>
  <si>
    <t>1:09:32</t>
  </si>
  <si>
    <t>11324752</t>
  </si>
  <si>
    <t>5:12:22</t>
  </si>
  <si>
    <t>5:40:11</t>
  </si>
  <si>
    <t>11325977</t>
  </si>
  <si>
    <t>7:20:00</t>
  </si>
  <si>
    <t>8:19:00</t>
  </si>
  <si>
    <t>11326017</t>
  </si>
  <si>
    <t>7:59:00</t>
  </si>
  <si>
    <t>8:27:00</t>
  </si>
  <si>
    <t>11326079</t>
  </si>
  <si>
    <t>22:39:18</t>
  </si>
  <si>
    <t>22:58:51</t>
  </si>
  <si>
    <t>11326142</t>
  </si>
  <si>
    <t>8:51:00</t>
  </si>
  <si>
    <t>11326475</t>
  </si>
  <si>
    <t>14:01:51</t>
  </si>
  <si>
    <t>14:22:40</t>
  </si>
  <si>
    <t>11326223</t>
  </si>
  <si>
    <t>11:03:32</t>
  </si>
  <si>
    <t>11:35:05</t>
  </si>
  <si>
    <t>139741</t>
  </si>
  <si>
    <t>The Truss Shop, Inc.</t>
  </si>
  <si>
    <t>11325879</t>
  </si>
  <si>
    <t>9:28:06</t>
  </si>
  <si>
    <t>10:07:43</t>
  </si>
  <si>
    <t>11326161</t>
  </si>
  <si>
    <t>10:48:36</t>
  </si>
  <si>
    <t>11:19:45</t>
  </si>
  <si>
    <t>11326542</t>
  </si>
  <si>
    <t>15:07:02</t>
  </si>
  <si>
    <t>15:58:55</t>
  </si>
  <si>
    <t>11324525</t>
  </si>
  <si>
    <t>4:21:47</t>
  </si>
  <si>
    <t>4:45:06</t>
  </si>
  <si>
    <t>11326035</t>
  </si>
  <si>
    <t>8:46:00</t>
  </si>
  <si>
    <t>9:21:00</t>
  </si>
  <si>
    <t>11326544</t>
  </si>
  <si>
    <t>15:10:55</t>
  </si>
  <si>
    <t>16:01:22</t>
  </si>
  <si>
    <t>Weighing in week</t>
  </si>
  <si>
    <t>Weekly Total Chip Trucks by Hour</t>
  </si>
  <si>
    <t>Weekly Average Time of Chip Trucks Trips by Hour</t>
  </si>
  <si>
    <t>Weekly Average Time of Chip Trucks by Hour</t>
  </si>
  <si>
    <t>18.2022</t>
  </si>
  <si>
    <t>11305844</t>
  </si>
  <si>
    <t>06.05.2022</t>
  </si>
  <si>
    <t>15:59:58</t>
  </si>
  <si>
    <t>16:31:09</t>
  </si>
  <si>
    <t>11305923</t>
  </si>
  <si>
    <t>18:19:02</t>
  </si>
  <si>
    <t>18:38:33</t>
  </si>
  <si>
    <t>11305951</t>
  </si>
  <si>
    <t>20:11:53</t>
  </si>
  <si>
    <t>20:31:47</t>
  </si>
  <si>
    <t>6:16:36</t>
  </si>
  <si>
    <t>11305114</t>
  </si>
  <si>
    <t>9:17:13</t>
  </si>
  <si>
    <t>9:48:53</t>
  </si>
  <si>
    <t>131652</t>
  </si>
  <si>
    <t>Home Lumber Company</t>
  </si>
  <si>
    <t>11305596</t>
  </si>
  <si>
    <t>12:08:17</t>
  </si>
  <si>
    <t>12:29:46</t>
  </si>
  <si>
    <t>11305248</t>
  </si>
  <si>
    <t>9:50:55</t>
  </si>
  <si>
    <t>10:34:07</t>
  </si>
  <si>
    <t>133781</t>
  </si>
  <si>
    <t>Blue Ridge Lumber</t>
  </si>
  <si>
    <t>11305897</t>
  </si>
  <si>
    <t>17:14:45</t>
  </si>
  <si>
    <t>17:55:01</t>
  </si>
  <si>
    <t>11306881</t>
  </si>
  <si>
    <t>08.05.2022</t>
  </si>
  <si>
    <t>20:07:54</t>
  </si>
  <si>
    <t>20:28:19</t>
  </si>
  <si>
    <t>11306494</t>
  </si>
  <si>
    <t>07.05.2022</t>
  </si>
  <si>
    <t>11:00:25</t>
  </si>
  <si>
    <t>11:30:31</t>
  </si>
  <si>
    <t>11304978</t>
  </si>
  <si>
    <t>8:32:23</t>
  </si>
  <si>
    <t>9:10:13</t>
  </si>
  <si>
    <t>14:48:30</t>
  </si>
  <si>
    <t>11304678</t>
  </si>
  <si>
    <t>7:21:22</t>
  </si>
  <si>
    <t>7:42:57</t>
  </si>
  <si>
    <t>11305237</t>
  </si>
  <si>
    <t>9:44:35</t>
  </si>
  <si>
    <t>10:18:37</t>
  </si>
  <si>
    <t>11305628</t>
  </si>
  <si>
    <t>12:28:40</t>
  </si>
  <si>
    <t>13:09:32</t>
  </si>
  <si>
    <t>11304402</t>
  </si>
  <si>
    <t>6:13:48</t>
  </si>
  <si>
    <t>6:45:53</t>
  </si>
  <si>
    <t>11303627</t>
  </si>
  <si>
    <t>3:43:10</t>
  </si>
  <si>
    <t>4:02:55</t>
  </si>
  <si>
    <t>11304977</t>
  </si>
  <si>
    <t>8:30:23</t>
  </si>
  <si>
    <t>8:55:03</t>
  </si>
  <si>
    <t>11306298</t>
  </si>
  <si>
    <t>5:58:32</t>
  </si>
  <si>
    <t>6:23:16</t>
  </si>
  <si>
    <t>11306725</t>
  </si>
  <si>
    <t>5:45:54</t>
  </si>
  <si>
    <t>6:04:08</t>
  </si>
  <si>
    <t>11305599</t>
  </si>
  <si>
    <t>12:16:26</t>
  </si>
  <si>
    <t>12:54:20</t>
  </si>
  <si>
    <t>11305697</t>
  </si>
  <si>
    <t>13:34:33</t>
  </si>
  <si>
    <t>14:16:28</t>
  </si>
  <si>
    <t>11305949</t>
  </si>
  <si>
    <t>19:48:55</t>
  </si>
  <si>
    <t>20:17:17</t>
  </si>
  <si>
    <t>11306500</t>
  </si>
  <si>
    <t>11:30:18</t>
  </si>
  <si>
    <t>11:57:03</t>
  </si>
  <si>
    <t>11306556</t>
  </si>
  <si>
    <t>14:46:13</t>
  </si>
  <si>
    <t>15:10:43</t>
  </si>
  <si>
    <t>11306379</t>
  </si>
  <si>
    <t>7:36:56</t>
  </si>
  <si>
    <t>8:06:08</t>
  </si>
  <si>
    <t>143121</t>
  </si>
  <si>
    <t>Southern Forest Products</t>
  </si>
  <si>
    <t>11305637</t>
  </si>
  <si>
    <t>12:41:08</t>
  </si>
  <si>
    <t>13:44:30</t>
  </si>
  <si>
    <t>24:33:53</t>
  </si>
  <si>
    <t>11303251</t>
  </si>
  <si>
    <t>2:41:57</t>
  </si>
  <si>
    <t>3:07:33</t>
  </si>
  <si>
    <t>11305026</t>
  </si>
  <si>
    <t>8:50:06</t>
  </si>
  <si>
    <t>9:45:02</t>
  </si>
  <si>
    <t>11305134</t>
  </si>
  <si>
    <t>9:21:20</t>
  </si>
  <si>
    <t>9:46:46</t>
  </si>
  <si>
    <t>11305642</t>
  </si>
  <si>
    <t>12:46:50</t>
  </si>
  <si>
    <t>14:03:14</t>
  </si>
  <si>
    <t>11305675</t>
  </si>
  <si>
    <t>13:07:57</t>
  </si>
  <si>
    <t>13:32:02</t>
  </si>
  <si>
    <t>11305846</t>
  </si>
  <si>
    <t>16:01:31</t>
  </si>
  <si>
    <t>16:32:59</t>
  </si>
  <si>
    <t>11305064</t>
  </si>
  <si>
    <t>9:01:55</t>
  </si>
  <si>
    <t>9:26:36</t>
  </si>
  <si>
    <t>11306079</t>
  </si>
  <si>
    <t>2:26:12</t>
  </si>
  <si>
    <t>2:48:09</t>
  </si>
  <si>
    <t>11306162</t>
  </si>
  <si>
    <t>3:05:46</t>
  </si>
  <si>
    <t>3:45:20</t>
  </si>
  <si>
    <t>11306294</t>
  </si>
  <si>
    <t>5:51:58</t>
  </si>
  <si>
    <t>6:14:02</t>
  </si>
  <si>
    <t>11306319</t>
  </si>
  <si>
    <t>6:32:26</t>
  </si>
  <si>
    <t>7:04:58</t>
  </si>
  <si>
    <t>11306442</t>
  </si>
  <si>
    <t>9:05:34</t>
  </si>
  <si>
    <t>9:28:05</t>
  </si>
  <si>
    <t>11306490</t>
  </si>
  <si>
    <t>10:18:03</t>
  </si>
  <si>
    <t>10:42:14</t>
  </si>
  <si>
    <t>11305722</t>
  </si>
  <si>
    <t>13:50:47</t>
  </si>
  <si>
    <t>14:31:29</t>
  </si>
  <si>
    <t>11305200</t>
  </si>
  <si>
    <t>9:38:26</t>
  </si>
  <si>
    <t>10:03:09</t>
  </si>
  <si>
    <t>11305739</t>
  </si>
  <si>
    <t>14:05:46</t>
  </si>
  <si>
    <t>14:43:00</t>
  </si>
  <si>
    <t>11304205</t>
  </si>
  <si>
    <t>5:36:56</t>
  </si>
  <si>
    <t>5:54:28</t>
  </si>
  <si>
    <t>11305894</t>
  </si>
  <si>
    <t>17:11:34</t>
  </si>
  <si>
    <t>17:56:41</t>
  </si>
  <si>
    <t>11304385</t>
  </si>
  <si>
    <t>6:08:18</t>
  </si>
  <si>
    <t>6:27:59</t>
  </si>
  <si>
    <t>11304651</t>
  </si>
  <si>
    <t>7:11:13</t>
  </si>
  <si>
    <t>7:30:45</t>
  </si>
  <si>
    <t>11305429</t>
  </si>
  <si>
    <t>10:54:13</t>
  </si>
  <si>
    <t>11:18:16</t>
  </si>
  <si>
    <t>11305682</t>
  </si>
  <si>
    <t>13:18:37</t>
  </si>
  <si>
    <t>14:10:25</t>
  </si>
  <si>
    <t>11306883</t>
  </si>
  <si>
    <t>21:11:13</t>
  </si>
  <si>
    <t>21:33:13</t>
  </si>
  <si>
    <t>11305471</t>
  </si>
  <si>
    <t>11:06:51</t>
  </si>
  <si>
    <t>11:32:03</t>
  </si>
  <si>
    <t>11305515</t>
  </si>
  <si>
    <t>11:23:07</t>
  </si>
  <si>
    <t>11:47:56</t>
  </si>
  <si>
    <t>11305559</t>
  </si>
  <si>
    <t>11:44:45</t>
  </si>
  <si>
    <t>12:07:05</t>
  </si>
  <si>
    <t>11305847</t>
  </si>
  <si>
    <t>16:03:27</t>
  </si>
  <si>
    <t>11305895</t>
  </si>
  <si>
    <t>17:13:16</t>
  </si>
  <si>
    <t>17:33:51</t>
  </si>
  <si>
    <t>11305954</t>
  </si>
  <si>
    <t>20:47:44</t>
  </si>
  <si>
    <t>21:19:13</t>
  </si>
  <si>
    <t>11306856</t>
  </si>
  <si>
    <t>17:11:46</t>
  </si>
  <si>
    <t>17:45:08</t>
  </si>
  <si>
    <t>11305563</t>
  </si>
  <si>
    <t>18:12:55</t>
  </si>
  <si>
    <t>18:48:17</t>
  </si>
  <si>
    <t>11303849</t>
  </si>
  <si>
    <t>4:28:57</t>
  </si>
  <si>
    <t>4:49:21</t>
  </si>
  <si>
    <t>11303898</t>
  </si>
  <si>
    <t>4:37:56</t>
  </si>
  <si>
    <t>5:15:09</t>
  </si>
  <si>
    <t>11305420</t>
  </si>
  <si>
    <t>10:48:33</t>
  </si>
  <si>
    <t>11:19:53</t>
  </si>
  <si>
    <t>11303065</t>
  </si>
  <si>
    <t>2:04:03</t>
  </si>
  <si>
    <t>2:24:17</t>
  </si>
  <si>
    <t>11305929</t>
  </si>
  <si>
    <t>18:40:53</t>
  </si>
  <si>
    <t>19:04:23</t>
  </si>
  <si>
    <t>11304443</t>
  </si>
  <si>
    <t>6:21:15</t>
  </si>
  <si>
    <t>6:56:55</t>
  </si>
  <si>
    <t>11305781</t>
  </si>
  <si>
    <t>14:21:41</t>
  </si>
  <si>
    <t>15:01:22</t>
  </si>
  <si>
    <t>11304989</t>
  </si>
  <si>
    <t>8:36:36</t>
  </si>
  <si>
    <t>9:22:38</t>
  </si>
  <si>
    <t>11305254</t>
  </si>
  <si>
    <t>9:52:34</t>
  </si>
  <si>
    <t>10:26:04</t>
  </si>
  <si>
    <t>11305632</t>
  </si>
  <si>
    <t>12:32:27</t>
  </si>
  <si>
    <t>13:25:00</t>
  </si>
  <si>
    <t>11304074</t>
  </si>
  <si>
    <t>5:10:18</t>
  </si>
  <si>
    <t>5:28:51</t>
  </si>
  <si>
    <t>11304100</t>
  </si>
  <si>
    <t>5:16:20</t>
  </si>
  <si>
    <t>6:00:20</t>
  </si>
  <si>
    <t>11304530</t>
  </si>
  <si>
    <t>6:49:25</t>
  </si>
  <si>
    <t>7:12:56</t>
  </si>
  <si>
    <t>11305293</t>
  </si>
  <si>
    <t>10:07:23</t>
  </si>
  <si>
    <t>10:52:13</t>
  </si>
  <si>
    <t>11305724</t>
  </si>
  <si>
    <t>13:54:33</t>
  </si>
  <si>
    <t>14:28:20</t>
  </si>
  <si>
    <t>11305795</t>
  </si>
  <si>
    <t>14:39:54</t>
  </si>
  <si>
    <t>15:09:38</t>
  </si>
  <si>
    <t>11303716</t>
  </si>
  <si>
    <t>4:02:36</t>
  </si>
  <si>
    <t>4:20:44</t>
  </si>
  <si>
    <t>11304605</t>
  </si>
  <si>
    <t>6:59:18</t>
  </si>
  <si>
    <t>7:19:55</t>
  </si>
  <si>
    <t>11305290</t>
  </si>
  <si>
    <t>10:02:50</t>
  </si>
  <si>
    <t>10:23:32</t>
  </si>
  <si>
    <t>11306782</t>
  </si>
  <si>
    <t>9:21:30</t>
  </si>
  <si>
    <t>9:45:04</t>
  </si>
  <si>
    <t>11306831</t>
  </si>
  <si>
    <t>11:48:35</t>
  </si>
  <si>
    <t>12:07:48</t>
  </si>
  <si>
    <t>11304424</t>
  </si>
  <si>
    <t>6:18:27</t>
  </si>
  <si>
    <t>6:39:21</t>
  </si>
  <si>
    <t>11304898</t>
  </si>
  <si>
    <t>8:07:42</t>
  </si>
  <si>
    <t>8:27:43</t>
  </si>
  <si>
    <t>11305297</t>
  </si>
  <si>
    <t>10:09:58</t>
  </si>
  <si>
    <t>11:03:57</t>
  </si>
  <si>
    <t>11305793</t>
  </si>
  <si>
    <t>14:37:22</t>
  </si>
  <si>
    <t>14:58:58</t>
  </si>
  <si>
    <t>11305241</t>
  </si>
  <si>
    <t>9:46:13</t>
  </si>
  <si>
    <t>10:05:24</t>
  </si>
  <si>
    <t>11305260</t>
  </si>
  <si>
    <t>9:55:35</t>
  </si>
  <si>
    <t>10:21:24</t>
  </si>
  <si>
    <t>11306408</t>
  </si>
  <si>
    <t>8:04:48</t>
  </si>
  <si>
    <t>8:24:16</t>
  </si>
  <si>
    <t>11:41:17</t>
  </si>
  <si>
    <t>11302682</t>
  </si>
  <si>
    <t>0:26:16</t>
  </si>
  <si>
    <t>0:45:09</t>
  </si>
  <si>
    <t>11303653</t>
  </si>
  <si>
    <t>3:46:50</t>
  </si>
  <si>
    <t>11304481</t>
  </si>
  <si>
    <t>6:33:21</t>
  </si>
  <si>
    <t>6:55:05</t>
  </si>
  <si>
    <t>11305022</t>
  </si>
  <si>
    <t>8:48:33</t>
  </si>
  <si>
    <t>9:08:38</t>
  </si>
  <si>
    <t>11305625</t>
  </si>
  <si>
    <t>12:25:17</t>
  </si>
  <si>
    <t>12:47:37</t>
  </si>
  <si>
    <t>11306299</t>
  </si>
  <si>
    <t>6:01:57</t>
  </si>
  <si>
    <t>6:26:07</t>
  </si>
  <si>
    <t>11306475</t>
  </si>
  <si>
    <t>9:59:13</t>
  </si>
  <si>
    <t>10:21:44</t>
  </si>
  <si>
    <t>11306882</t>
  </si>
  <si>
    <t>20:51:49</t>
  </si>
  <si>
    <t>21:12:06</t>
  </si>
  <si>
    <t>11304092</t>
  </si>
  <si>
    <t>5:12:46</t>
  </si>
  <si>
    <t>5:39:35</t>
  </si>
  <si>
    <t>11306558</t>
  </si>
  <si>
    <t>15:45:14</t>
  </si>
  <si>
    <t>11305102</t>
  </si>
  <si>
    <t>9:11:53</t>
  </si>
  <si>
    <t>9:42:03</t>
  </si>
  <si>
    <t>11305358</t>
  </si>
  <si>
    <t>10:24:08</t>
  </si>
  <si>
    <t>11:16:13</t>
  </si>
  <si>
    <t>11305622</t>
  </si>
  <si>
    <t>12:18:28</t>
  </si>
  <si>
    <t>12:41:58</t>
  </si>
  <si>
    <t>11305849</t>
  </si>
  <si>
    <t>16:05:19</t>
  </si>
  <si>
    <t>16:28:06</t>
  </si>
  <si>
    <t>11303916</t>
  </si>
  <si>
    <t>4:41:04</t>
  </si>
  <si>
    <t>5:06:32</t>
  </si>
  <si>
    <t>11305269</t>
  </si>
  <si>
    <t>9:57:47</t>
  </si>
  <si>
    <t>10:35:50</t>
  </si>
  <si>
    <t>11305723</t>
  </si>
  <si>
    <t>13:52:52</t>
  </si>
  <si>
    <t>14:21:34</t>
  </si>
  <si>
    <t>11305892</t>
  </si>
  <si>
    <t>17:09:49</t>
  </si>
  <si>
    <t>17:36:53</t>
  </si>
  <si>
    <t>11305948</t>
  </si>
  <si>
    <t>19:47:06</t>
  </si>
  <si>
    <t>20:19:10</t>
  </si>
  <si>
    <t>11306534</t>
  </si>
  <si>
    <t>12:26:21</t>
  </si>
  <si>
    <t>13:04:17</t>
  </si>
  <si>
    <t>11303235</t>
  </si>
  <si>
    <t>2:39:32</t>
  </si>
  <si>
    <t>2:57:49</t>
  </si>
  <si>
    <t>11306073</t>
  </si>
  <si>
    <t>1:24:14</t>
  </si>
  <si>
    <t>1:45:03</t>
  </si>
  <si>
    <t>11306311</t>
  </si>
  <si>
    <t>6:03:47</t>
  </si>
  <si>
    <t>6:36:34</t>
  </si>
  <si>
    <t>11306533</t>
  </si>
  <si>
    <t>12:02:06</t>
  </si>
  <si>
    <t>12:29:05</t>
  </si>
  <si>
    <t>11305886</t>
  </si>
  <si>
    <t>16:39:40</t>
  </si>
  <si>
    <t>17:08:24</t>
  </si>
  <si>
    <t>11305564</t>
  </si>
  <si>
    <t>18:20:43</t>
  </si>
  <si>
    <t>19:05:22</t>
  </si>
  <si>
    <t>11305636</t>
  </si>
  <si>
    <t>12:39:09</t>
  </si>
  <si>
    <t>13:02:15</t>
  </si>
  <si>
    <t>11305672</t>
  </si>
  <si>
    <t>13:02:54</t>
  </si>
  <si>
    <t>13:36:16</t>
  </si>
  <si>
    <t>11306557</t>
  </si>
  <si>
    <t>15:00:23</t>
  </si>
  <si>
    <t>15:31:16</t>
  </si>
  <si>
    <t>11304095</t>
  </si>
  <si>
    <t>5:14:15</t>
  </si>
  <si>
    <t>5:47:23</t>
  </si>
  <si>
    <t>11305820</t>
  </si>
  <si>
    <t>15:30:42</t>
  </si>
  <si>
    <t>16:18:49</t>
  </si>
  <si>
    <t>11305508</t>
  </si>
  <si>
    <t>11:19:04</t>
  </si>
  <si>
    <t>11:43:03</t>
  </si>
  <si>
    <t>11304610</t>
  </si>
  <si>
    <t>7:01:04</t>
  </si>
  <si>
    <t>7:22:23</t>
  </si>
  <si>
    <t>11305284</t>
  </si>
  <si>
    <t>9:59:31</t>
  </si>
  <si>
    <t>10:46:12</t>
  </si>
  <si>
    <t>11305392</t>
  </si>
  <si>
    <t>10:34:33</t>
  </si>
  <si>
    <t>11306497</t>
  </si>
  <si>
    <t>11:15:16</t>
  </si>
  <si>
    <t>11:39:47</t>
  </si>
  <si>
    <t>11303920</t>
  </si>
  <si>
    <t>4:42:51</t>
  </si>
  <si>
    <t>5:03:08</t>
  </si>
  <si>
    <t>11305808</t>
  </si>
  <si>
    <t>14:51:52</t>
  </si>
  <si>
    <t>16:16:26</t>
  </si>
  <si>
    <t>11305393</t>
  </si>
  <si>
    <t>10:36:51</t>
  </si>
  <si>
    <t>11:08:33</t>
  </si>
  <si>
    <t>11305645</t>
  </si>
  <si>
    <t>12:52:27</t>
  </si>
  <si>
    <t>13:22:59</t>
  </si>
  <si>
    <t>11305674</t>
  </si>
  <si>
    <t>13:06:29</t>
  </si>
  <si>
    <t>13:29:38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</si>
</sst>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"/>
    <numFmt numFmtId="165" formatCode="h:mm;@"/>
  </numFmts>
  <fonts count="14" x14ac:knownFonts="1">
    <font>
      <sz val="11"/>
      <color theme="1"/>
      <name val="Calibri"/>
      <family val="2"/>
      <scheme val="minor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indexed="15"/>
        <bgColor indexed="64"/>
      </patternFill>
    </fill>
  </fills>
  <borders count="12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59996337778862885"/>
      </left>
      <right style="thin">
        <color theme="3" tint="-0.24994659260841701"/>
      </right>
      <top style="thin">
        <color theme="3" tint="0.59996337778862885"/>
      </top>
      <bottom style="thin">
        <color theme="3" tint="-0.24994659260841701"/>
      </bottom>
      <diagonal/>
    </border>
  </borders>
  <cellStyleXfs count="40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Protection="0">
      <alignment horizontal="right" vertical="center"/>
    </xf>
    <xf numFmtId="164" fontId="1" fillId="0" borderId="3" applyNumberFormat="0" applyProtection="0">
      <alignment horizontal="right" vertical="center"/>
    </xf>
    <xf numFmtId="164" fontId="2" fillId="3" borderId="1" applyNumberFormat="0" applyAlignment="0" applyProtection="0">
      <alignment horizontal="left" vertical="center" indent="1"/>
    </xf>
    <xf numFmtId="0" fontId="3" fillId="4" borderId="3" applyNumberFormat="0" applyAlignment="0">
      <alignment horizontal="left" vertical="center" indent="1"/>
      <protection locked="0"/>
    </xf>
    <xf numFmtId="0" fontId="3" fillId="5" borderId="3" applyNumberFormat="0" applyAlignment="0" applyProtection="0">
      <alignment horizontal="left" vertical="center" indent="1"/>
    </xf>
    <xf numFmtId="164" fontId="2" fillId="6" borderId="2" applyNumberFormat="0" applyBorder="0">
      <alignment horizontal="right" vertical="center"/>
      <protection locked="0"/>
    </xf>
    <xf numFmtId="0" fontId="3" fillId="4" borderId="3" applyNumberFormat="0" applyAlignment="0">
      <alignment horizontal="left" vertical="center" indent="1"/>
      <protection locked="0"/>
    </xf>
    <xf numFmtId="164" fontId="1" fillId="5" borderId="3" applyNumberFormat="0" applyProtection="0">
      <alignment horizontal="right" vertical="center"/>
    </xf>
    <xf numFmtId="164" fontId="1" fillId="6" borderId="3" applyNumberFormat="0" applyBorder="0">
      <alignment horizontal="right" vertical="center"/>
      <protection locked="0"/>
    </xf>
    <xf numFmtId="164" fontId="4" fillId="7" borderId="4" applyNumberFormat="0" applyBorder="0" applyAlignment="0" applyProtection="0">
      <alignment horizontal="right" vertical="center" indent="1"/>
    </xf>
    <xf numFmtId="164" fontId="5" fillId="8" borderId="4" applyNumberFormat="0" applyBorder="0" applyAlignment="0" applyProtection="0">
      <alignment horizontal="right" vertical="center" indent="1"/>
    </xf>
    <xf numFmtId="164" fontId="5" fillId="9" borderId="4" applyNumberFormat="0" applyBorder="0" applyAlignment="0" applyProtection="0">
      <alignment horizontal="right" vertical="center" indent="1"/>
    </xf>
    <xf numFmtId="164" fontId="6" fillId="10" borderId="4" applyNumberFormat="0" applyBorder="0" applyAlignment="0" applyProtection="0">
      <alignment horizontal="right" vertical="center" indent="1"/>
    </xf>
    <xf numFmtId="164" fontId="6" fillId="11" borderId="4" applyNumberFormat="0" applyBorder="0" applyAlignment="0" applyProtection="0">
      <alignment horizontal="right" vertical="center" indent="1"/>
    </xf>
    <xf numFmtId="164" fontId="6" fillId="12" borderId="4" applyNumberFormat="0" applyBorder="0" applyAlignment="0" applyProtection="0">
      <alignment horizontal="right" vertical="center" indent="1"/>
    </xf>
    <xf numFmtId="164" fontId="7" fillId="13" borderId="4" applyNumberFormat="0" applyBorder="0" applyAlignment="0" applyProtection="0">
      <alignment horizontal="right" vertical="center" indent="1"/>
    </xf>
    <xf numFmtId="164" fontId="7" fillId="14" borderId="4" applyNumberFormat="0" applyBorder="0" applyAlignment="0" applyProtection="0">
      <alignment horizontal="right" vertical="center" indent="1"/>
    </xf>
    <xf numFmtId="164" fontId="7" fillId="15" borderId="4" applyNumberFormat="0" applyBorder="0" applyAlignment="0" applyProtection="0">
      <alignment horizontal="right" vertical="center" indent="1"/>
    </xf>
    <xf numFmtId="0" fontId="8" fillId="0" borderId="1" applyNumberFormat="0" applyFont="0" applyFill="0" applyAlignment="0" applyProtection="0"/>
    <xf numFmtId="164" fontId="9" fillId="3" borderId="0" applyNumberFormat="0" applyAlignment="0" applyProtection="0">
      <alignment horizontal="left" vertical="center" indent="1"/>
    </xf>
    <xf numFmtId="0" fontId="8" fillId="0" borderId="5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/>
    </xf>
    <xf numFmtId="164" fontId="2" fillId="3" borderId="1" applyNumberFormat="0" applyAlignment="0" applyProtection="0">
      <alignment horizontal="left" vertical="center" indent="1"/>
    </xf>
    <xf numFmtId="0" fontId="1" fillId="2" borderId="3" applyNumberFormat="0" applyAlignment="0" applyProtection="0">
      <alignment horizontal="left" vertical="center" indent="1"/>
    </xf>
    <xf numFmtId="0" fontId="3" fillId="16" borderId="1" applyNumberFormat="0" applyAlignment="0" applyProtection="0">
      <alignment horizontal="left" vertical="center" indent="1"/>
    </xf>
    <xf numFmtId="0" fontId="3" fillId="17" borderId="1" applyNumberFormat="0" applyAlignment="0" applyProtection="0">
      <alignment horizontal="left" vertical="center" indent="1"/>
    </xf>
    <xf numFmtId="0" fontId="3" fillId="18" borderId="1" applyNumberFormat="0" applyAlignment="0" applyProtection="0">
      <alignment horizontal="left" vertical="center" indent="1"/>
    </xf>
    <xf numFmtId="0" fontId="3" fillId="6" borderId="1" applyNumberFormat="0" applyAlignment="0" applyProtection="0">
      <alignment horizontal="left" vertical="center" indent="1"/>
    </xf>
    <xf numFmtId="0" fontId="3" fillId="5" borderId="3" applyNumberFormat="0" applyAlignment="0" applyProtection="0">
      <alignment horizontal="left" vertical="center" indent="1"/>
    </xf>
    <xf numFmtId="0" fontId="10" fillId="0" borderId="6" applyNumberFormat="0" applyFill="0" applyBorder="0" applyAlignment="0" applyProtection="0"/>
    <xf numFmtId="0" fontId="11" fillId="0" borderId="6" applyNumberFormat="0" applyBorder="0" applyAlignment="0" applyProtection="0"/>
    <xf numFmtId="0" fontId="10" fillId="4" borderId="3" applyNumberFormat="0" applyAlignment="0">
      <alignment horizontal="left" vertical="center" indent="1"/>
      <protection locked="0"/>
    </xf>
    <xf numFmtId="0" fontId="10" fillId="4" borderId="3" applyNumberFormat="0" applyAlignment="0">
      <alignment horizontal="left" vertical="center" indent="1"/>
      <protection locked="0"/>
    </xf>
    <xf numFmtId="0" fontId="10" fillId="5" borderId="3" applyNumberFormat="0" applyAlignment="0" applyProtection="0">
      <alignment horizontal="left" vertical="center" indent="1"/>
    </xf>
    <xf numFmtId="164" fontId="12" fillId="5" borderId="3" applyNumberFormat="0" applyProtection="0">
      <alignment horizontal="right" vertical="center"/>
    </xf>
    <xf numFmtId="164" fontId="13" fillId="6" borderId="2" applyNumberFormat="0" applyBorder="0">
      <alignment horizontal="right" vertical="center"/>
      <protection locked="0"/>
    </xf>
    <xf numFmtId="164" fontId="12" fillId="6" borderId="3" applyNumberFormat="0" applyBorder="0">
      <alignment horizontal="right" vertical="center"/>
      <protection locked="0"/>
    </xf>
    <xf numFmtId="164" fontId="2" fillId="0" borderId="2" applyNumberFormat="0" applyFill="0" applyBorder="0" applyAlignment="0" applyProtection="0">
      <alignment horizontal="right" vertical="center"/>
    </xf>
  </cellStyleXfs>
  <cellXfs count="27">
    <xf numFmtId="0" fontId="0" fillId="0" borderId="0" xfId="0"/>
    <xf numFmtId="0" fontId="2" fillId="3" borderId="1" xfId="24" applyNumberFormat="1" applyAlignment="1"/>
    <xf numFmtId="0" fontId="1" fillId="2" borderId="3" xfId="25" applyNumberFormat="1" applyAlignment="1"/>
    <xf numFmtId="49" fontId="2" fillId="0" borderId="2" xfId="2" applyNumberFormat="1">
      <alignment horizontal="right" vertical="center"/>
    </xf>
    <xf numFmtId="0" fontId="1" fillId="0" borderId="3" xfId="3" applyNumberFormat="1">
      <alignment horizontal="right" vertical="center"/>
    </xf>
    <xf numFmtId="0" fontId="1" fillId="2" borderId="1" xfId="1" applyNumberFormat="1" applyAlignment="1"/>
    <xf numFmtId="49" fontId="2" fillId="0" borderId="7" xfId="2" applyNumberFormat="1" applyBorder="1">
      <alignment horizontal="right" vertical="center"/>
    </xf>
    <xf numFmtId="0" fontId="1" fillId="2" borderId="9" xfId="25" applyNumberFormat="1" applyBorder="1" applyAlignment="1"/>
    <xf numFmtId="0" fontId="1" fillId="2" borderId="1" xfId="1" quotePrefix="1" applyNumberFormat="1" applyAlignment="1"/>
    <xf numFmtId="0" fontId="2" fillId="3" borderId="1" xfId="24" quotePrefix="1" applyNumberFormat="1" applyAlignment="1"/>
    <xf numFmtId="0" fontId="1" fillId="2" borderId="8" xfId="25" quotePrefix="1" applyNumberFormat="1" applyBorder="1" applyAlignment="1"/>
    <xf numFmtId="0" fontId="1" fillId="2" borderId="3" xfId="25" quotePrefix="1" applyNumberFormat="1" applyAlignment="1"/>
    <xf numFmtId="0" fontId="1" fillId="0" borderId="9" xfId="3" applyNumberFormat="1" applyBorder="1">
      <alignment horizontal="right" vertical="center"/>
    </xf>
    <xf numFmtId="49" fontId="2" fillId="0" borderId="10" xfId="2" applyNumberFormat="1" applyBorder="1">
      <alignment horizontal="right" vertical="center"/>
    </xf>
    <xf numFmtId="49" fontId="2" fillId="0" borderId="11" xfId="2" applyNumberFormat="1" applyBorder="1">
      <alignment horizontal="right" vertical="center"/>
    </xf>
    <xf numFmtId="165" fontId="0" fillId="0" borderId="0" xfId="0" applyNumberFormat="1"/>
    <xf numFmtId="49" fontId="2" fillId="19" borderId="10" xfId="2" applyNumberFormat="1" applyFill="1" applyBorder="1">
      <alignment horizontal="right" vertical="center"/>
    </xf>
    <xf numFmtId="0" fontId="2" fillId="0" borderId="0" xfId="24" quotePrefix="1" applyNumberFormat="1" applyFill="1" applyBorder="1" applyAlignment="1"/>
    <xf numFmtId="0" fontId="1" fillId="0" borderId="0" xfId="25" quotePrefix="1" applyNumberFormat="1" applyFill="1" applyBorder="1" applyAlignment="1"/>
    <xf numFmtId="0" fontId="1" fillId="0" borderId="0" xfId="25" applyNumberFormat="1" applyFill="1" applyBorder="1" applyAlignment="1"/>
    <xf numFmtId="0" fontId="1" fillId="0" borderId="0" xfId="3" applyNumberFormat="1" applyBorder="1">
      <alignment horizontal="right" vertical="center"/>
    </xf>
    <xf numFmtId="0" fontId="2" fillId="0" borderId="0" xfId="24" applyNumberFormat="1" applyFill="1" applyBorder="1" applyAlignment="1"/>
    <xf numFmtId="49" fontId="2" fillId="0" borderId="0" xfId="2" applyNumberFormat="1" applyBorder="1">
      <alignment horizontal="right" vertical="center"/>
    </xf>
    <xf numFmtId="165" fontId="1" fillId="0" borderId="0" xfId="3" applyNumberFormat="1" applyBorder="1">
      <alignment horizontal="right" vertical="center"/>
    </xf>
    <xf numFmtId="165" fontId="2" fillId="0" borderId="0" xfId="2" applyNumberFormat="1" applyBorder="1">
      <alignment horizontal="right" vertical="center"/>
    </xf>
    <xf numFmtId="21" fontId="0" fillId="0" borderId="0" xfId="0" applyNumberFormat="1"/>
    <xf numFmtId="2" fontId="0" fillId="0" borderId="0" xfId="0" applyNumberFormat="1"/>
  </cellXfs>
  <cellStyles count="40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1" xr:uid="{00000000-0005-0000-0000-000008000000}"/>
    <cellStyle name="SAPEmphasizedEditableDataCell" xfId="33" xr:uid="{00000000-0005-0000-0000-000009000000}"/>
    <cellStyle name="SAPEmphasizedEditableDataTotalCell" xfId="34" xr:uid="{00000000-0005-0000-0000-00000A000000}"/>
    <cellStyle name="SAPEmphasizedLockedDataCell" xfId="37" xr:uid="{00000000-0005-0000-0000-00000B000000}"/>
    <cellStyle name="SAPEmphasizedLockedDataTotalCell" xfId="38" xr:uid="{00000000-0005-0000-0000-00000C000000}"/>
    <cellStyle name="SAPEmphasizedReadonlyDataCell" xfId="35" xr:uid="{00000000-0005-0000-0000-00000D000000}"/>
    <cellStyle name="SAPEmphasizedReadonlyDataTotalCell" xfId="36" xr:uid="{00000000-0005-0000-0000-00000E000000}"/>
    <cellStyle name="SAPEmphasizedTotal" xfId="32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39" xr:uid="{00000000-0005-0000-0000-00001A000000}"/>
    <cellStyle name="SAPGroupingFillCell" xfId="4" xr:uid="{00000000-0005-0000-0000-00001B000000}"/>
    <cellStyle name="SAPHierarchyCell0" xfId="26" xr:uid="{00000000-0005-0000-0000-00001C000000}"/>
    <cellStyle name="SAPHierarchyCell1" xfId="27" xr:uid="{00000000-0005-0000-0000-00001D000000}"/>
    <cellStyle name="SAPHierarchyCell2" xfId="28" xr:uid="{00000000-0005-0000-0000-00001E000000}"/>
    <cellStyle name="SAPHierarchyCell3" xfId="29" xr:uid="{00000000-0005-0000-0000-00001F000000}"/>
    <cellStyle name="SAPHierarchyCell4" xfId="30" xr:uid="{00000000-0005-0000-0000-000020000000}"/>
    <cellStyle name="SAPLockedDataCell" xfId="7" xr:uid="{00000000-0005-0000-0000-000021000000}"/>
    <cellStyle name="SAPLockedDataTotalCell" xfId="10" xr:uid="{00000000-0005-0000-0000-000022000000}"/>
    <cellStyle name="SAPMemberCell" xfId="24" xr:uid="{00000000-0005-0000-0000-000023000000}"/>
    <cellStyle name="SAPMemberTotalCell" xfId="25" xr:uid="{00000000-0005-0000-0000-000024000000}"/>
    <cellStyle name="SAPMessageText" xfId="23" xr:uid="{00000000-0005-0000-0000-000025000000}"/>
    <cellStyle name="SAPReadonlyDataCell" xfId="6" xr:uid="{00000000-0005-0000-0000-000026000000}"/>
    <cellStyle name="SAPReadonlyDataTotalCell" xfId="9" xr:uid="{00000000-0005-0000-0000-00002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customProperty" Target="../customProperty4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customProperty" Target="../customProperty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.65" x14ac:dyDescent="0.3"/>
  <sheetData/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66"/>
  <sheetViews>
    <sheetView tabSelected="1" topLeftCell="J1" zoomScale="112" zoomScaleNormal="112" workbookViewId="0">
      <selection activeCell="P6" sqref="P6"/>
    </sheetView>
  </sheetViews>
  <sheetFormatPr defaultRowHeight="14.65" x14ac:dyDescent="0.3"/>
  <cols>
    <col min="1" max="1" width="14.109375" bestFit="1" customWidth="1"/>
    <col min="2" max="2" width="31.88671875" bestFit="1" customWidth="1"/>
    <col min="3" max="3" width="7.5546875" bestFit="1" customWidth="1"/>
    <col min="4" max="5" width="31.44140625" bestFit="1" customWidth="1"/>
    <col min="6" max="7" width="13.109375" bestFit="1" customWidth="1"/>
    <col min="8" max="8" width="18.44140625" bestFit="1" customWidth="1"/>
    <col min="9" max="9" width="16.6640625" bestFit="1" customWidth="1"/>
    <col min="10" max="10" width="14.88671875" bestFit="1" customWidth="1"/>
    <col min="11" max="11" width="16" bestFit="1" customWidth="1"/>
    <col min="12" max="12" width="10.33203125" style="15" bestFit="1" customWidth="1"/>
    <col min="13" max="13" width="11.109375" bestFit="1" customWidth="1"/>
    <col min="14" max="14" width="10.109375" bestFit="1" customWidth="1"/>
    <col min="15" max="15" width="11" bestFit="1" customWidth="1"/>
    <col min="16" max="16" width="28.5546875" bestFit="1" customWidth="1"/>
    <col min="17" max="17" width="41.88671875" bestFit="1" customWidth="1"/>
    <col min="18" max="18" width="48.109375" bestFit="1" customWidth="1"/>
    <col min="19" max="19" width="39" bestFit="1" customWidth="1"/>
    <col min="20" max="20" width="10.44140625" bestFit="1" customWidth="1"/>
    <col min="21" max="21" width="24.6640625" bestFit="1" customWidth="1"/>
    <col min="22" max="22" width="21.6640625" bestFit="1" customWidth="1"/>
  </cols>
  <sheetData>
    <row r="1" spans="1:19" x14ac:dyDescent="0.3">
      <c r="A1" s="8" t="s">
        <v>0</v>
      </c>
      <c r="B1" s="5"/>
      <c r="C1" s="8" t="s">
        <v>1</v>
      </c>
      <c r="D1" s="5"/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  <c r="J1" s="9" t="s">
        <v>7</v>
      </c>
      <c r="K1" s="9" t="s">
        <v>8</v>
      </c>
      <c r="L1" s="15" t="s">
        <v>9</v>
      </c>
      <c r="M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</row>
    <row r="2" spans="1:19" x14ac:dyDescent="0.3">
      <c r="A2" s="10" t="s">
        <v>16</v>
      </c>
      <c r="B2" s="2"/>
      <c r="C2" s="2"/>
      <c r="D2" s="2"/>
      <c r="E2" s="2"/>
      <c r="F2" s="2"/>
      <c r="G2" s="2"/>
      <c r="H2" s="2"/>
      <c r="I2" s="7"/>
      <c r="J2" s="4"/>
      <c r="K2" s="12"/>
      <c r="O2">
        <v>0</v>
      </c>
      <c r="P2">
        <f>COUNTIF(M:M,"0")</f>
        <v>1</v>
      </c>
      <c r="Q2">
        <f>AVERAGE($P$2:$P$25)</f>
        <v>5.125</v>
      </c>
      <c r="R2" s="15">
        <f>AVERAGEIF(M:M,O2,L:L)</f>
        <v>1.2407407407407405E-2</v>
      </c>
      <c r="S2" s="15">
        <f>AVERAGEIF($R$2:$R$25, "&lt;&gt; 0")</f>
        <v>1.9012104889709048E-2</v>
      </c>
    </row>
    <row r="3" spans="1:19" x14ac:dyDescent="0.3">
      <c r="A3" s="9" t="s">
        <v>17</v>
      </c>
      <c r="B3" s="9" t="s">
        <v>18</v>
      </c>
      <c r="C3" s="11" t="s">
        <v>19</v>
      </c>
      <c r="D3" s="2"/>
      <c r="E3" s="2"/>
      <c r="F3" s="2"/>
      <c r="G3" s="2"/>
      <c r="H3" s="2"/>
      <c r="I3" s="7"/>
      <c r="J3" s="4"/>
      <c r="K3" s="12"/>
      <c r="O3">
        <v>1</v>
      </c>
      <c r="P3">
        <f>COUNTIF(M:M,"1")</f>
        <v>1</v>
      </c>
      <c r="Q3">
        <f t="shared" ref="Q3:Q25" si="0">AVERAGE($P$2:$P$25)</f>
        <v>5.125</v>
      </c>
      <c r="R3" s="15">
        <f t="shared" ref="R3:R24" si="1">AVERAGEIF(M:M,O3,L:L)</f>
        <v>1.3391203703703697E-2</v>
      </c>
      <c r="S3" s="15">
        <f t="shared" ref="S3:S25" si="2">AVERAGEIF($R$2:$R$25, "&lt;&gt; 0")</f>
        <v>1.9012104889709048E-2</v>
      </c>
    </row>
    <row r="4" spans="1:19" x14ac:dyDescent="0.3">
      <c r="A4" s="1"/>
      <c r="B4" s="1"/>
      <c r="C4" s="9" t="s">
        <v>20</v>
      </c>
      <c r="D4" s="9" t="s">
        <v>21</v>
      </c>
      <c r="E4" s="9" t="s">
        <v>21</v>
      </c>
      <c r="F4" s="9" t="s">
        <v>22</v>
      </c>
      <c r="G4" s="11" t="s">
        <v>19</v>
      </c>
      <c r="H4" s="2"/>
      <c r="I4" s="7"/>
      <c r="J4" s="4"/>
      <c r="K4" s="12"/>
      <c r="O4">
        <v>2</v>
      </c>
      <c r="P4">
        <f>COUNTIF(M:M,"2")</f>
        <v>3</v>
      </c>
      <c r="Q4">
        <f t="shared" si="0"/>
        <v>5.125</v>
      </c>
      <c r="R4" s="15">
        <f t="shared" si="1"/>
        <v>1.5771604938271608E-2</v>
      </c>
      <c r="S4" s="15">
        <f t="shared" si="2"/>
        <v>1.9012104889709048E-2</v>
      </c>
    </row>
    <row r="5" spans="1:19" x14ac:dyDescent="0.3">
      <c r="A5" s="1"/>
      <c r="B5" s="1"/>
      <c r="C5" s="1"/>
      <c r="D5" s="1"/>
      <c r="E5" s="1"/>
      <c r="F5" s="1"/>
      <c r="G5" s="9" t="s">
        <v>23</v>
      </c>
      <c r="H5" s="9" t="s">
        <v>24</v>
      </c>
      <c r="I5" s="9" t="s">
        <v>25</v>
      </c>
      <c r="J5" s="3" t="s">
        <v>26</v>
      </c>
      <c r="K5" s="13" t="s">
        <v>27</v>
      </c>
      <c r="L5" s="15">
        <f t="shared" ref="L5:L64" si="3">K5-J5</f>
        <v>-5.8101851851851877E-2</v>
      </c>
      <c r="M5">
        <f t="shared" ref="M5:M64" si="4">HOUR(J5)</f>
        <v>5</v>
      </c>
      <c r="O5">
        <v>3</v>
      </c>
      <c r="P5">
        <f>COUNTIF(M:M,"3")</f>
        <v>0</v>
      </c>
      <c r="Q5">
        <f t="shared" si="0"/>
        <v>5.125</v>
      </c>
      <c r="R5" s="15">
        <v>0</v>
      </c>
      <c r="S5" s="15">
        <f t="shared" si="2"/>
        <v>1.9012104889709048E-2</v>
      </c>
    </row>
    <row r="6" spans="1:19" x14ac:dyDescent="0.3">
      <c r="A6" s="1"/>
      <c r="B6" s="1"/>
      <c r="C6" s="1"/>
      <c r="D6" s="1"/>
      <c r="E6" s="1"/>
      <c r="F6" s="1"/>
      <c r="G6" s="9" t="s">
        <v>28</v>
      </c>
      <c r="H6" s="9" t="s">
        <v>24</v>
      </c>
      <c r="I6" s="9" t="s">
        <v>25</v>
      </c>
      <c r="J6" s="3" t="s">
        <v>29</v>
      </c>
      <c r="K6" s="13" t="s">
        <v>30</v>
      </c>
      <c r="L6" s="15">
        <f t="shared" si="3"/>
        <v>1.2824074074074043E-2</v>
      </c>
      <c r="M6">
        <f t="shared" si="4"/>
        <v>7</v>
      </c>
      <c r="O6">
        <v>4</v>
      </c>
      <c r="P6">
        <f>COUNTIF(M:M,"4")</f>
        <v>4</v>
      </c>
      <c r="Q6">
        <f t="shared" si="0"/>
        <v>5.125</v>
      </c>
      <c r="R6" s="15">
        <f t="shared" si="1"/>
        <v>1.248263888888889E-2</v>
      </c>
      <c r="S6" s="15">
        <f t="shared" si="2"/>
        <v>1.9012104889709048E-2</v>
      </c>
    </row>
    <row r="7" spans="1:19" x14ac:dyDescent="0.3">
      <c r="A7" s="1"/>
      <c r="B7" s="1"/>
      <c r="C7" s="9" t="s">
        <v>31</v>
      </c>
      <c r="D7" s="9" t="s">
        <v>32</v>
      </c>
      <c r="E7" s="9" t="s">
        <v>32</v>
      </c>
      <c r="F7" s="9" t="s">
        <v>22</v>
      </c>
      <c r="G7" s="9" t="s">
        <v>33</v>
      </c>
      <c r="H7" s="9" t="s">
        <v>24</v>
      </c>
      <c r="I7" s="9" t="s">
        <v>25</v>
      </c>
      <c r="J7" s="3" t="s">
        <v>34</v>
      </c>
      <c r="K7" s="13" t="s">
        <v>35</v>
      </c>
      <c r="L7" s="15">
        <f t="shared" si="3"/>
        <v>2.4050925925925948E-2</v>
      </c>
      <c r="M7">
        <f t="shared" si="4"/>
        <v>13</v>
      </c>
      <c r="O7">
        <v>5</v>
      </c>
      <c r="P7">
        <f>COUNTIF(M:M,"5")</f>
        <v>8</v>
      </c>
      <c r="Q7">
        <f t="shared" si="0"/>
        <v>5.125</v>
      </c>
      <c r="R7" s="15">
        <f t="shared" si="1"/>
        <v>8.1235532407407489E-3</v>
      </c>
      <c r="S7" s="15">
        <f t="shared" si="2"/>
        <v>1.9012104889709048E-2</v>
      </c>
    </row>
    <row r="8" spans="1:19" x14ac:dyDescent="0.3">
      <c r="A8" s="1"/>
      <c r="B8" s="1"/>
      <c r="C8" s="9" t="s">
        <v>36</v>
      </c>
      <c r="D8" s="9" t="s">
        <v>37</v>
      </c>
      <c r="E8" s="9" t="s">
        <v>37</v>
      </c>
      <c r="F8" s="9" t="s">
        <v>22</v>
      </c>
      <c r="G8" s="9" t="s">
        <v>38</v>
      </c>
      <c r="H8" s="9" t="s">
        <v>39</v>
      </c>
      <c r="I8" s="9" t="s">
        <v>25</v>
      </c>
      <c r="J8" s="3" t="s">
        <v>40</v>
      </c>
      <c r="K8" s="13" t="s">
        <v>41</v>
      </c>
      <c r="L8" s="15">
        <f t="shared" si="3"/>
        <v>3.8726851851851873E-2</v>
      </c>
      <c r="M8">
        <f t="shared" si="4"/>
        <v>10</v>
      </c>
      <c r="O8">
        <v>6</v>
      </c>
      <c r="P8">
        <f>COUNTIF(M:M,"6")</f>
        <v>6</v>
      </c>
      <c r="Q8">
        <f t="shared" si="0"/>
        <v>5.125</v>
      </c>
      <c r="R8" s="15">
        <f t="shared" si="1"/>
        <v>1.5351080246913581E-2</v>
      </c>
      <c r="S8" s="15">
        <f t="shared" si="2"/>
        <v>1.9012104889709048E-2</v>
      </c>
    </row>
    <row r="9" spans="1:19" x14ac:dyDescent="0.3">
      <c r="A9" s="1"/>
      <c r="B9" s="1"/>
      <c r="C9" s="9" t="s">
        <v>42</v>
      </c>
      <c r="D9" s="9" t="s">
        <v>43</v>
      </c>
      <c r="E9" s="9" t="s">
        <v>43</v>
      </c>
      <c r="F9" s="9" t="s">
        <v>22</v>
      </c>
      <c r="G9" s="9" t="s">
        <v>44</v>
      </c>
      <c r="H9" s="9" t="s">
        <v>24</v>
      </c>
      <c r="I9" s="9" t="s">
        <v>25</v>
      </c>
      <c r="J9" s="3" t="s">
        <v>45</v>
      </c>
      <c r="K9" s="13" t="s">
        <v>46</v>
      </c>
      <c r="L9" s="15">
        <f t="shared" si="3"/>
        <v>2.5752314814814881E-2</v>
      </c>
      <c r="M9">
        <f t="shared" si="4"/>
        <v>12</v>
      </c>
      <c r="O9">
        <v>7</v>
      </c>
      <c r="P9">
        <f>COUNTIF(M:M,"7")</f>
        <v>9</v>
      </c>
      <c r="Q9">
        <f t="shared" si="0"/>
        <v>5.125</v>
      </c>
      <c r="R9" s="15">
        <f t="shared" si="1"/>
        <v>1.568672839506173E-2</v>
      </c>
      <c r="S9" s="15">
        <f t="shared" si="2"/>
        <v>1.9012104889709048E-2</v>
      </c>
    </row>
    <row r="10" spans="1:19" x14ac:dyDescent="0.3">
      <c r="A10" s="1"/>
      <c r="B10" s="1"/>
      <c r="C10" s="9" t="s">
        <v>47</v>
      </c>
      <c r="D10" s="9" t="s">
        <v>48</v>
      </c>
      <c r="E10" s="9" t="s">
        <v>48</v>
      </c>
      <c r="F10" s="9" t="s">
        <v>22</v>
      </c>
      <c r="G10" s="11" t="s">
        <v>19</v>
      </c>
      <c r="H10" s="2"/>
      <c r="I10" s="7"/>
      <c r="J10" s="4"/>
      <c r="K10" s="12"/>
      <c r="O10">
        <v>8</v>
      </c>
      <c r="P10">
        <f>COUNTIF(M:M,"8")</f>
        <v>7</v>
      </c>
      <c r="Q10">
        <f t="shared" si="0"/>
        <v>5.125</v>
      </c>
      <c r="R10" s="15">
        <f t="shared" si="1"/>
        <v>1.8850859788359781E-2</v>
      </c>
      <c r="S10" s="15">
        <f t="shared" si="2"/>
        <v>1.9012104889709048E-2</v>
      </c>
    </row>
    <row r="11" spans="1:19" x14ac:dyDescent="0.3">
      <c r="A11" s="1"/>
      <c r="B11" s="1"/>
      <c r="C11" s="1"/>
      <c r="D11" s="1"/>
      <c r="E11" s="1"/>
      <c r="F11" s="1"/>
      <c r="G11" s="9" t="s">
        <v>49</v>
      </c>
      <c r="H11" s="9" t="s">
        <v>39</v>
      </c>
      <c r="I11" s="9" t="s">
        <v>25</v>
      </c>
      <c r="J11" s="3" t="s">
        <v>50</v>
      </c>
      <c r="K11" s="13" t="s">
        <v>51</v>
      </c>
      <c r="L11" s="15">
        <f t="shared" si="3"/>
        <v>2.3807870370370354E-2</v>
      </c>
      <c r="M11">
        <f t="shared" si="4"/>
        <v>8</v>
      </c>
      <c r="O11">
        <v>9</v>
      </c>
      <c r="P11">
        <f>COUNTIF(M:M,"9")</f>
        <v>13</v>
      </c>
      <c r="Q11">
        <f t="shared" si="0"/>
        <v>5.125</v>
      </c>
      <c r="R11" s="15">
        <f t="shared" si="1"/>
        <v>1.9070512820512822E-2</v>
      </c>
      <c r="S11" s="15">
        <f t="shared" si="2"/>
        <v>1.9012104889709048E-2</v>
      </c>
    </row>
    <row r="12" spans="1:19" x14ac:dyDescent="0.3">
      <c r="A12" s="1"/>
      <c r="B12" s="1"/>
      <c r="C12" s="1"/>
      <c r="D12" s="1"/>
      <c r="E12" s="1"/>
      <c r="F12" s="1"/>
      <c r="G12" s="9" t="s">
        <v>52</v>
      </c>
      <c r="H12" s="9" t="s">
        <v>24</v>
      </c>
      <c r="I12" s="9" t="s">
        <v>25</v>
      </c>
      <c r="J12" s="3" t="s">
        <v>53</v>
      </c>
      <c r="K12" s="13" t="s">
        <v>54</v>
      </c>
      <c r="L12" s="15">
        <f t="shared" si="3"/>
        <v>2.5821759259259225E-2</v>
      </c>
      <c r="M12">
        <f t="shared" si="4"/>
        <v>12</v>
      </c>
      <c r="O12">
        <v>10</v>
      </c>
      <c r="P12">
        <f>COUNTIF(M:M,"10")</f>
        <v>14</v>
      </c>
      <c r="Q12">
        <f t="shared" si="0"/>
        <v>5.125</v>
      </c>
      <c r="R12" s="15">
        <f t="shared" si="1"/>
        <v>3.6692294973544981E-2</v>
      </c>
      <c r="S12" s="15">
        <f t="shared" si="2"/>
        <v>1.9012104889709048E-2</v>
      </c>
    </row>
    <row r="13" spans="1:19" x14ac:dyDescent="0.3">
      <c r="A13" s="1"/>
      <c r="B13" s="1"/>
      <c r="C13" s="1"/>
      <c r="D13" s="1"/>
      <c r="E13" s="1"/>
      <c r="F13" s="1"/>
      <c r="G13" s="9" t="s">
        <v>55</v>
      </c>
      <c r="H13" s="9" t="s">
        <v>39</v>
      </c>
      <c r="I13" s="9" t="s">
        <v>25</v>
      </c>
      <c r="J13" s="3" t="s">
        <v>56</v>
      </c>
      <c r="K13" s="13" t="s">
        <v>57</v>
      </c>
      <c r="L13" s="15">
        <f t="shared" si="3"/>
        <v>1.864583333333325E-2</v>
      </c>
      <c r="M13">
        <f t="shared" si="4"/>
        <v>16</v>
      </c>
      <c r="O13">
        <v>11</v>
      </c>
      <c r="P13">
        <f>COUNTIF(M:M,"11")</f>
        <v>7</v>
      </c>
      <c r="Q13">
        <f t="shared" si="0"/>
        <v>5.125</v>
      </c>
      <c r="R13" s="15">
        <f t="shared" si="1"/>
        <v>2.8444113756613765E-2</v>
      </c>
      <c r="S13" s="15">
        <f t="shared" si="2"/>
        <v>1.9012104889709048E-2</v>
      </c>
    </row>
    <row r="14" spans="1:19" x14ac:dyDescent="0.3">
      <c r="A14" s="1"/>
      <c r="B14" s="1"/>
      <c r="C14" s="9" t="s">
        <v>58</v>
      </c>
      <c r="D14" s="9" t="s">
        <v>59</v>
      </c>
      <c r="E14" s="9" t="s">
        <v>59</v>
      </c>
      <c r="F14" s="9" t="s">
        <v>22</v>
      </c>
      <c r="G14" s="9" t="s">
        <v>60</v>
      </c>
      <c r="H14" s="9" t="s">
        <v>39</v>
      </c>
      <c r="I14" s="9" t="s">
        <v>25</v>
      </c>
      <c r="J14" s="3" t="s">
        <v>61</v>
      </c>
      <c r="K14" s="13" t="s">
        <v>62</v>
      </c>
      <c r="L14" s="15">
        <f t="shared" si="3"/>
        <v>2.8472222222222232E-2</v>
      </c>
      <c r="M14">
        <f t="shared" si="4"/>
        <v>8</v>
      </c>
      <c r="O14">
        <v>12</v>
      </c>
      <c r="P14">
        <f>COUNTIF(M:M,"12")</f>
        <v>8</v>
      </c>
      <c r="Q14">
        <f t="shared" si="0"/>
        <v>5.125</v>
      </c>
      <c r="R14" s="15">
        <f t="shared" si="1"/>
        <v>2.2649016203703701E-2</v>
      </c>
      <c r="S14" s="15">
        <f t="shared" si="2"/>
        <v>1.9012104889709048E-2</v>
      </c>
    </row>
    <row r="15" spans="1:19" x14ac:dyDescent="0.3">
      <c r="A15" s="9" t="s">
        <v>63</v>
      </c>
      <c r="B15" s="9" t="s">
        <v>64</v>
      </c>
      <c r="C15" s="11" t="s">
        <v>19</v>
      </c>
      <c r="D15" s="2"/>
      <c r="E15" s="2"/>
      <c r="F15" s="2"/>
      <c r="G15" s="2"/>
      <c r="H15" s="2"/>
      <c r="I15" s="7"/>
      <c r="J15" s="4"/>
      <c r="K15" s="12"/>
      <c r="O15">
        <v>13</v>
      </c>
      <c r="P15">
        <f>COUNTIF(M:M,"13")</f>
        <v>8</v>
      </c>
      <c r="Q15">
        <f t="shared" si="0"/>
        <v>5.125</v>
      </c>
      <c r="R15" s="15">
        <f t="shared" si="1"/>
        <v>2.2824074074074066E-2</v>
      </c>
      <c r="S15" s="15">
        <f t="shared" si="2"/>
        <v>1.9012104889709048E-2</v>
      </c>
    </row>
    <row r="16" spans="1:19" x14ac:dyDescent="0.3">
      <c r="A16" s="1"/>
      <c r="B16" s="1"/>
      <c r="C16" s="9" t="s">
        <v>65</v>
      </c>
      <c r="D16" s="9" t="s">
        <v>66</v>
      </c>
      <c r="E16" s="9" t="s">
        <v>66</v>
      </c>
      <c r="F16" s="9" t="s">
        <v>22</v>
      </c>
      <c r="G16" s="11" t="s">
        <v>19</v>
      </c>
      <c r="H16" s="2"/>
      <c r="I16" s="7"/>
      <c r="J16" s="4"/>
      <c r="K16" s="12"/>
      <c r="O16">
        <v>14</v>
      </c>
      <c r="P16">
        <f>COUNTIF(M:M,"14")</f>
        <v>10</v>
      </c>
      <c r="Q16">
        <f t="shared" si="0"/>
        <v>5.125</v>
      </c>
      <c r="R16" s="15">
        <f t="shared" si="1"/>
        <v>3.5487268518518508E-2</v>
      </c>
      <c r="S16" s="15">
        <f t="shared" si="2"/>
        <v>1.9012104889709048E-2</v>
      </c>
    </row>
    <row r="17" spans="1:19" x14ac:dyDescent="0.3">
      <c r="A17" s="1"/>
      <c r="B17" s="1"/>
      <c r="C17" s="1"/>
      <c r="D17" s="1"/>
      <c r="E17" s="1"/>
      <c r="F17" s="1"/>
      <c r="G17" s="9" t="s">
        <v>67</v>
      </c>
      <c r="H17" s="9" t="s">
        <v>39</v>
      </c>
      <c r="I17" s="9" t="s">
        <v>25</v>
      </c>
      <c r="J17" s="3" t="s">
        <v>68</v>
      </c>
      <c r="K17" s="13" t="s">
        <v>69</v>
      </c>
      <c r="L17" s="15">
        <f t="shared" si="3"/>
        <v>1.4016203703703711E-2</v>
      </c>
      <c r="M17">
        <f t="shared" si="4"/>
        <v>8</v>
      </c>
      <c r="O17">
        <v>15</v>
      </c>
      <c r="P17">
        <f>COUNTIF(M:M,"15")</f>
        <v>4</v>
      </c>
      <c r="Q17">
        <f t="shared" si="0"/>
        <v>5.125</v>
      </c>
      <c r="R17" s="15">
        <f t="shared" si="1"/>
        <v>2.5034722222222222E-2</v>
      </c>
      <c r="S17" s="15">
        <f t="shared" si="2"/>
        <v>1.9012104889709048E-2</v>
      </c>
    </row>
    <row r="18" spans="1:19" x14ac:dyDescent="0.3">
      <c r="A18" s="1"/>
      <c r="B18" s="1"/>
      <c r="C18" s="1"/>
      <c r="D18" s="1"/>
      <c r="E18" s="1"/>
      <c r="F18" s="1"/>
      <c r="G18" s="9" t="s">
        <v>70</v>
      </c>
      <c r="H18" s="9" t="s">
        <v>39</v>
      </c>
      <c r="I18" s="9" t="s">
        <v>25</v>
      </c>
      <c r="J18" s="3" t="s">
        <v>71</v>
      </c>
      <c r="K18" s="13" t="s">
        <v>72</v>
      </c>
      <c r="L18" s="15">
        <f t="shared" si="3"/>
        <v>2.9328703703703718E-2</v>
      </c>
      <c r="M18">
        <f t="shared" si="4"/>
        <v>10</v>
      </c>
      <c r="O18">
        <v>16</v>
      </c>
      <c r="P18">
        <f>COUNTIF(M:M,"16")</f>
        <v>3</v>
      </c>
      <c r="Q18">
        <f t="shared" si="0"/>
        <v>5.125</v>
      </c>
      <c r="R18" s="15">
        <f t="shared" si="1"/>
        <v>2.3672839506172754E-2</v>
      </c>
      <c r="S18" s="15">
        <f t="shared" si="2"/>
        <v>1.9012104889709048E-2</v>
      </c>
    </row>
    <row r="19" spans="1:19" x14ac:dyDescent="0.3">
      <c r="A19" s="1"/>
      <c r="B19" s="1"/>
      <c r="C19" s="9" t="s">
        <v>20</v>
      </c>
      <c r="D19" s="9" t="s">
        <v>21</v>
      </c>
      <c r="E19" s="9" t="s">
        <v>21</v>
      </c>
      <c r="F19" s="9" t="s">
        <v>22</v>
      </c>
      <c r="G19" s="11" t="s">
        <v>19</v>
      </c>
      <c r="H19" s="2"/>
      <c r="I19" s="7"/>
      <c r="J19" s="4"/>
      <c r="K19" s="12"/>
      <c r="O19">
        <v>17</v>
      </c>
      <c r="P19">
        <f>COUNTIF(M:M,"17")</f>
        <v>5</v>
      </c>
      <c r="Q19">
        <f t="shared" si="0"/>
        <v>5.125</v>
      </c>
      <c r="R19" s="15">
        <f t="shared" si="1"/>
        <v>1.6875000000000018E-2</v>
      </c>
      <c r="S19" s="15">
        <f t="shared" si="2"/>
        <v>1.9012104889709048E-2</v>
      </c>
    </row>
    <row r="20" spans="1:19" x14ac:dyDescent="0.3">
      <c r="A20" s="1"/>
      <c r="B20" s="1"/>
      <c r="C20" s="1"/>
      <c r="D20" s="1"/>
      <c r="E20" s="1"/>
      <c r="F20" s="1"/>
      <c r="G20" s="9" t="s">
        <v>73</v>
      </c>
      <c r="H20" s="9" t="s">
        <v>39</v>
      </c>
      <c r="I20" s="9" t="s">
        <v>25</v>
      </c>
      <c r="J20" s="3" t="s">
        <v>74</v>
      </c>
      <c r="K20" s="13" t="s">
        <v>75</v>
      </c>
      <c r="L20" s="15">
        <f t="shared" si="3"/>
        <v>1.9143518518518532E-2</v>
      </c>
      <c r="M20">
        <f t="shared" si="4"/>
        <v>7</v>
      </c>
      <c r="O20">
        <v>18</v>
      </c>
      <c r="P20">
        <f>COUNTIF(M:M,"18")</f>
        <v>4</v>
      </c>
      <c r="Q20">
        <f t="shared" si="0"/>
        <v>5.125</v>
      </c>
      <c r="R20" s="15">
        <f t="shared" si="1"/>
        <v>1.6267361111111073E-2</v>
      </c>
      <c r="S20" s="15">
        <f t="shared" si="2"/>
        <v>1.9012104889709048E-2</v>
      </c>
    </row>
    <row r="21" spans="1:19" x14ac:dyDescent="0.3">
      <c r="A21" s="1"/>
      <c r="B21" s="1"/>
      <c r="C21" s="1"/>
      <c r="D21" s="1"/>
      <c r="E21" s="1"/>
      <c r="F21" s="1"/>
      <c r="G21" s="9" t="s">
        <v>76</v>
      </c>
      <c r="H21" s="9" t="s">
        <v>39</v>
      </c>
      <c r="I21" s="9" t="s">
        <v>25</v>
      </c>
      <c r="J21" s="3" t="s">
        <v>77</v>
      </c>
      <c r="K21" s="13" t="s">
        <v>78</v>
      </c>
      <c r="L21" s="15">
        <f t="shared" si="3"/>
        <v>2.0289351851851822E-2</v>
      </c>
      <c r="M21">
        <f t="shared" si="4"/>
        <v>8</v>
      </c>
      <c r="O21">
        <v>19</v>
      </c>
      <c r="P21">
        <f>COUNTIF(M:M,"19")</f>
        <v>2</v>
      </c>
      <c r="Q21">
        <f t="shared" si="0"/>
        <v>5.125</v>
      </c>
      <c r="R21" s="15">
        <f t="shared" si="1"/>
        <v>1.8020833333333375E-2</v>
      </c>
      <c r="S21" s="15">
        <f t="shared" si="2"/>
        <v>1.9012104889709048E-2</v>
      </c>
    </row>
    <row r="22" spans="1:19" x14ac:dyDescent="0.3">
      <c r="A22" s="1"/>
      <c r="B22" s="1"/>
      <c r="C22" s="1"/>
      <c r="D22" s="1"/>
      <c r="E22" s="1"/>
      <c r="F22" s="1"/>
      <c r="G22" s="9" t="s">
        <v>79</v>
      </c>
      <c r="H22" s="9" t="s">
        <v>24</v>
      </c>
      <c r="I22" s="9" t="s">
        <v>25</v>
      </c>
      <c r="J22" s="3" t="s">
        <v>80</v>
      </c>
      <c r="K22" s="13" t="s">
        <v>81</v>
      </c>
      <c r="L22" s="15">
        <f t="shared" si="3"/>
        <v>3.4305555555555534E-2</v>
      </c>
      <c r="M22">
        <f t="shared" si="4"/>
        <v>10</v>
      </c>
      <c r="O22">
        <v>20</v>
      </c>
      <c r="P22">
        <f>COUNTIF(M:M,"20")</f>
        <v>2</v>
      </c>
      <c r="Q22">
        <f t="shared" si="0"/>
        <v>5.125</v>
      </c>
      <c r="R22" s="15">
        <f t="shared" si="1"/>
        <v>1.3269675925925872E-2</v>
      </c>
      <c r="S22" s="15">
        <f t="shared" si="2"/>
        <v>1.9012104889709048E-2</v>
      </c>
    </row>
    <row r="23" spans="1:19" x14ac:dyDescent="0.3">
      <c r="A23" s="1"/>
      <c r="B23" s="1"/>
      <c r="C23" s="1"/>
      <c r="D23" s="1"/>
      <c r="E23" s="1"/>
      <c r="F23" s="1"/>
      <c r="G23" s="9" t="s">
        <v>82</v>
      </c>
      <c r="H23" s="9" t="s">
        <v>24</v>
      </c>
      <c r="I23" s="9" t="s">
        <v>25</v>
      </c>
      <c r="J23" s="3" t="s">
        <v>83</v>
      </c>
      <c r="K23" s="13" t="s">
        <v>84</v>
      </c>
      <c r="L23" s="15">
        <f t="shared" si="3"/>
        <v>3.3738425925925908E-2</v>
      </c>
      <c r="M23">
        <f t="shared" si="4"/>
        <v>12</v>
      </c>
      <c r="O23">
        <v>21</v>
      </c>
      <c r="P23">
        <f>COUNTIF(M:M,"21")</f>
        <v>2</v>
      </c>
      <c r="Q23">
        <f t="shared" si="0"/>
        <v>5.125</v>
      </c>
      <c r="R23" s="15">
        <f t="shared" si="1"/>
        <v>1.4658564814814812E-2</v>
      </c>
      <c r="S23" s="15">
        <f t="shared" si="2"/>
        <v>1.9012104889709048E-2</v>
      </c>
    </row>
    <row r="24" spans="1:19" x14ac:dyDescent="0.3">
      <c r="A24" s="1"/>
      <c r="B24" s="1"/>
      <c r="C24" s="1"/>
      <c r="D24" s="1"/>
      <c r="E24" s="1"/>
      <c r="F24" s="1"/>
      <c r="G24" s="9" t="s">
        <v>85</v>
      </c>
      <c r="H24" s="9" t="s">
        <v>24</v>
      </c>
      <c r="I24" s="9" t="s">
        <v>25</v>
      </c>
      <c r="J24" s="3" t="s">
        <v>86</v>
      </c>
      <c r="K24" s="13" t="s">
        <v>87</v>
      </c>
      <c r="L24" s="15">
        <f t="shared" si="3"/>
        <v>3.2233796296296302E-2</v>
      </c>
      <c r="M24">
        <f t="shared" si="4"/>
        <v>14</v>
      </c>
      <c r="O24">
        <v>22</v>
      </c>
      <c r="P24">
        <f>COUNTIF(M:M,"22")</f>
        <v>2</v>
      </c>
      <c r="Q24">
        <f t="shared" si="0"/>
        <v>5.125</v>
      </c>
      <c r="R24" s="15">
        <f t="shared" si="1"/>
        <v>1.32349537037037E-2</v>
      </c>
      <c r="S24" s="15">
        <f t="shared" si="2"/>
        <v>1.9012104889709048E-2</v>
      </c>
    </row>
    <row r="25" spans="1:19" x14ac:dyDescent="0.3">
      <c r="A25" s="1"/>
      <c r="B25" s="1"/>
      <c r="C25" s="9" t="s">
        <v>88</v>
      </c>
      <c r="D25" s="9" t="s">
        <v>89</v>
      </c>
      <c r="E25" s="9" t="s">
        <v>89</v>
      </c>
      <c r="F25" s="9" t="s">
        <v>22</v>
      </c>
      <c r="G25" s="9" t="s">
        <v>90</v>
      </c>
      <c r="H25" s="9" t="s">
        <v>39</v>
      </c>
      <c r="I25" s="9" t="s">
        <v>25</v>
      </c>
      <c r="J25" s="3" t="s">
        <v>91</v>
      </c>
      <c r="K25" s="13" t="s">
        <v>92</v>
      </c>
      <c r="L25" s="15">
        <f t="shared" si="3"/>
        <v>2.2268518518518576E-2</v>
      </c>
      <c r="M25">
        <f t="shared" si="4"/>
        <v>11</v>
      </c>
      <c r="O25">
        <v>23</v>
      </c>
      <c r="P25">
        <f>COUNTIF(M:M,"23")</f>
        <v>0</v>
      </c>
      <c r="Q25">
        <f t="shared" si="0"/>
        <v>5.125</v>
      </c>
      <c r="R25" s="15">
        <v>0</v>
      </c>
      <c r="S25" s="15">
        <f t="shared" si="2"/>
        <v>1.9012104889709048E-2</v>
      </c>
    </row>
    <row r="26" spans="1:19" x14ac:dyDescent="0.3">
      <c r="A26" s="1"/>
      <c r="B26" s="1"/>
      <c r="C26" s="9" t="s">
        <v>93</v>
      </c>
      <c r="D26" s="9" t="s">
        <v>94</v>
      </c>
      <c r="E26" s="9" t="s">
        <v>94</v>
      </c>
      <c r="F26" s="9" t="s">
        <v>22</v>
      </c>
      <c r="G26" s="9" t="s">
        <v>95</v>
      </c>
      <c r="H26" s="9" t="s">
        <v>39</v>
      </c>
      <c r="I26" s="9" t="s">
        <v>25</v>
      </c>
      <c r="J26" s="3" t="s">
        <v>96</v>
      </c>
      <c r="K26" s="13" t="s">
        <v>97</v>
      </c>
      <c r="L26" s="15">
        <f t="shared" si="3"/>
        <v>1.5069444444444413E-2</v>
      </c>
      <c r="M26">
        <f t="shared" si="4"/>
        <v>8</v>
      </c>
    </row>
    <row r="27" spans="1:19" x14ac:dyDescent="0.3">
      <c r="A27" s="1"/>
      <c r="B27" s="1"/>
      <c r="C27" s="9" t="s">
        <v>98</v>
      </c>
      <c r="D27" s="9" t="s">
        <v>99</v>
      </c>
      <c r="E27" s="9" t="s">
        <v>99</v>
      </c>
      <c r="F27" s="9" t="s">
        <v>22</v>
      </c>
      <c r="G27" s="9" t="s">
        <v>100</v>
      </c>
      <c r="H27" s="9" t="s">
        <v>39</v>
      </c>
      <c r="I27" s="9" t="s">
        <v>25</v>
      </c>
      <c r="J27" s="3" t="s">
        <v>101</v>
      </c>
      <c r="K27" s="13" t="s">
        <v>102</v>
      </c>
      <c r="L27" s="15">
        <f t="shared" si="3"/>
        <v>2.2581018518518514E-2</v>
      </c>
      <c r="M27">
        <f t="shared" si="4"/>
        <v>9</v>
      </c>
    </row>
    <row r="28" spans="1:19" x14ac:dyDescent="0.3">
      <c r="A28" s="1"/>
      <c r="B28" s="1"/>
      <c r="C28" s="9" t="s">
        <v>31</v>
      </c>
      <c r="D28" s="9" t="s">
        <v>32</v>
      </c>
      <c r="E28" s="9" t="s">
        <v>32</v>
      </c>
      <c r="F28" s="9" t="s">
        <v>22</v>
      </c>
      <c r="G28" s="9" t="s">
        <v>103</v>
      </c>
      <c r="H28" s="9" t="s">
        <v>24</v>
      </c>
      <c r="I28" s="9" t="s">
        <v>25</v>
      </c>
      <c r="J28" s="3" t="s">
        <v>104</v>
      </c>
      <c r="K28" s="13" t="s">
        <v>105</v>
      </c>
      <c r="L28" s="15">
        <f t="shared" si="3"/>
        <v>2.6944444444444549E-2</v>
      </c>
      <c r="M28">
        <f t="shared" si="4"/>
        <v>18</v>
      </c>
    </row>
    <row r="29" spans="1:19" x14ac:dyDescent="0.3">
      <c r="A29" s="1"/>
      <c r="B29" s="1"/>
      <c r="C29" s="9" t="s">
        <v>36</v>
      </c>
      <c r="D29" s="9" t="s">
        <v>37</v>
      </c>
      <c r="E29" s="9" t="s">
        <v>37</v>
      </c>
      <c r="F29" s="9" t="s">
        <v>22</v>
      </c>
      <c r="G29" s="9" t="s">
        <v>106</v>
      </c>
      <c r="H29" s="9" t="s">
        <v>39</v>
      </c>
      <c r="I29" s="9" t="s">
        <v>25</v>
      </c>
      <c r="J29" s="3" t="s">
        <v>107</v>
      </c>
      <c r="K29" s="13" t="s">
        <v>108</v>
      </c>
      <c r="L29" s="15">
        <f t="shared" si="3"/>
        <v>2.0532407407407471E-2</v>
      </c>
      <c r="M29">
        <f t="shared" si="4"/>
        <v>13</v>
      </c>
    </row>
    <row r="30" spans="1:19" x14ac:dyDescent="0.3">
      <c r="A30" s="1"/>
      <c r="B30" s="1"/>
      <c r="C30" s="9" t="s">
        <v>109</v>
      </c>
      <c r="D30" s="9" t="s">
        <v>110</v>
      </c>
      <c r="E30" s="9" t="s">
        <v>110</v>
      </c>
      <c r="F30" s="9" t="s">
        <v>22</v>
      </c>
      <c r="G30" s="9" t="s">
        <v>111</v>
      </c>
      <c r="H30" s="9" t="s">
        <v>39</v>
      </c>
      <c r="I30" s="9" t="s">
        <v>25</v>
      </c>
      <c r="J30" s="3" t="s">
        <v>112</v>
      </c>
      <c r="K30" s="13" t="s">
        <v>113</v>
      </c>
      <c r="L30" s="15">
        <f t="shared" si="3"/>
        <v>2.2870370370370374E-2</v>
      </c>
      <c r="M30">
        <f t="shared" si="4"/>
        <v>7</v>
      </c>
    </row>
    <row r="31" spans="1:19" x14ac:dyDescent="0.3">
      <c r="A31" s="9" t="s">
        <v>114</v>
      </c>
      <c r="B31" s="9" t="s">
        <v>115</v>
      </c>
      <c r="C31" s="11" t="s">
        <v>19</v>
      </c>
      <c r="D31" s="2"/>
      <c r="E31" s="2"/>
      <c r="F31" s="2"/>
      <c r="G31" s="2"/>
      <c r="H31" s="2"/>
      <c r="I31" s="7"/>
      <c r="J31" s="4"/>
      <c r="K31" s="12"/>
    </row>
    <row r="32" spans="1:19" x14ac:dyDescent="0.3">
      <c r="A32" s="1"/>
      <c r="B32" s="1"/>
      <c r="C32" s="9" t="s">
        <v>116</v>
      </c>
      <c r="D32" s="9" t="s">
        <v>117</v>
      </c>
      <c r="E32" s="11" t="s">
        <v>19</v>
      </c>
      <c r="F32" s="2"/>
      <c r="G32" s="2"/>
      <c r="H32" s="2"/>
      <c r="I32" s="7"/>
      <c r="J32" s="4"/>
      <c r="K32" s="12"/>
    </row>
    <row r="33" spans="1:13" x14ac:dyDescent="0.3">
      <c r="A33" s="1"/>
      <c r="B33" s="1"/>
      <c r="C33" s="1"/>
      <c r="D33" s="1"/>
      <c r="E33" s="9" t="s">
        <v>117</v>
      </c>
      <c r="F33" s="9" t="s">
        <v>22</v>
      </c>
      <c r="G33" s="11" t="s">
        <v>19</v>
      </c>
      <c r="H33" s="2"/>
      <c r="I33" s="7"/>
      <c r="J33" s="4"/>
      <c r="K33" s="12"/>
    </row>
    <row r="34" spans="1:13" x14ac:dyDescent="0.3">
      <c r="A34" s="1"/>
      <c r="B34" s="1"/>
      <c r="C34" s="1"/>
      <c r="D34" s="1"/>
      <c r="E34" s="1"/>
      <c r="F34" s="1"/>
      <c r="G34" s="9" t="s">
        <v>118</v>
      </c>
      <c r="H34" s="9" t="s">
        <v>119</v>
      </c>
      <c r="I34" s="9" t="s">
        <v>25</v>
      </c>
      <c r="J34" s="3" t="s">
        <v>120</v>
      </c>
      <c r="K34" s="13" t="s">
        <v>121</v>
      </c>
      <c r="L34" s="15">
        <f t="shared" si="3"/>
        <v>1.5590277777777772E-2</v>
      </c>
      <c r="M34">
        <f t="shared" si="4"/>
        <v>19</v>
      </c>
    </row>
    <row r="35" spans="1:13" x14ac:dyDescent="0.3">
      <c r="A35" s="1"/>
      <c r="B35" s="1"/>
      <c r="C35" s="1"/>
      <c r="D35" s="1"/>
      <c r="E35" s="1"/>
      <c r="F35" s="1"/>
      <c r="G35" s="9" t="s">
        <v>122</v>
      </c>
      <c r="H35" s="9" t="s">
        <v>119</v>
      </c>
      <c r="I35" s="9" t="s">
        <v>25</v>
      </c>
      <c r="J35" s="3" t="s">
        <v>123</v>
      </c>
      <c r="K35" s="13" t="s">
        <v>124</v>
      </c>
      <c r="L35" s="15">
        <f t="shared" si="3"/>
        <v>1.2361111111111156E-2</v>
      </c>
      <c r="M35">
        <f t="shared" si="4"/>
        <v>22</v>
      </c>
    </row>
    <row r="36" spans="1:13" x14ac:dyDescent="0.3">
      <c r="A36" s="1"/>
      <c r="B36" s="1"/>
      <c r="C36" s="1"/>
      <c r="D36" s="1"/>
      <c r="E36" s="9" t="s">
        <v>125</v>
      </c>
      <c r="F36" s="9" t="s">
        <v>22</v>
      </c>
      <c r="G36" s="11" t="s">
        <v>19</v>
      </c>
      <c r="H36" s="2"/>
      <c r="I36" s="7"/>
      <c r="J36" s="4"/>
      <c r="K36" s="12"/>
    </row>
    <row r="37" spans="1:13" x14ac:dyDescent="0.3">
      <c r="A37" s="1"/>
      <c r="B37" s="1"/>
      <c r="C37" s="1"/>
      <c r="D37" s="1"/>
      <c r="E37" s="1"/>
      <c r="F37" s="1"/>
      <c r="G37" s="9" t="s">
        <v>126</v>
      </c>
      <c r="H37" s="9" t="s">
        <v>127</v>
      </c>
      <c r="I37" s="9" t="s">
        <v>25</v>
      </c>
      <c r="J37" s="3" t="s">
        <v>128</v>
      </c>
      <c r="K37" s="13" t="s">
        <v>129</v>
      </c>
      <c r="L37" s="15">
        <f t="shared" si="3"/>
        <v>1.3391203703703697E-2</v>
      </c>
      <c r="M37">
        <f t="shared" si="4"/>
        <v>1</v>
      </c>
    </row>
    <row r="38" spans="1:13" x14ac:dyDescent="0.3">
      <c r="A38" s="1"/>
      <c r="B38" s="1"/>
      <c r="C38" s="1"/>
      <c r="D38" s="1"/>
      <c r="E38" s="1"/>
      <c r="F38" s="1"/>
      <c r="G38" s="9" t="s">
        <v>130</v>
      </c>
      <c r="H38" s="9" t="s">
        <v>127</v>
      </c>
      <c r="I38" s="9" t="s">
        <v>25</v>
      </c>
      <c r="J38" s="3" t="s">
        <v>131</v>
      </c>
      <c r="K38" s="13" t="s">
        <v>132</v>
      </c>
      <c r="L38" s="15">
        <f t="shared" si="3"/>
        <v>1.7893518518518503E-2</v>
      </c>
      <c r="M38">
        <f t="shared" si="4"/>
        <v>9</v>
      </c>
    </row>
    <row r="39" spans="1:13" x14ac:dyDescent="0.3">
      <c r="A39" s="1"/>
      <c r="B39" s="1"/>
      <c r="C39" s="1"/>
      <c r="D39" s="1"/>
      <c r="E39" s="1"/>
      <c r="F39" s="1"/>
      <c r="G39" s="9" t="s">
        <v>133</v>
      </c>
      <c r="H39" s="9" t="s">
        <v>127</v>
      </c>
      <c r="I39" s="9" t="s">
        <v>25</v>
      </c>
      <c r="J39" s="3" t="s">
        <v>134</v>
      </c>
      <c r="K39" s="13" t="s">
        <v>135</v>
      </c>
      <c r="L39" s="15">
        <f t="shared" si="3"/>
        <v>1.3900462962962989E-2</v>
      </c>
      <c r="M39">
        <f t="shared" si="4"/>
        <v>21</v>
      </c>
    </row>
    <row r="40" spans="1:13" x14ac:dyDescent="0.3">
      <c r="A40" s="1"/>
      <c r="B40" s="1"/>
      <c r="C40" s="9" t="s">
        <v>136</v>
      </c>
      <c r="D40" s="9" t="s">
        <v>137</v>
      </c>
      <c r="E40" s="9" t="s">
        <v>137</v>
      </c>
      <c r="F40" s="9" t="s">
        <v>22</v>
      </c>
      <c r="G40" s="11" t="s">
        <v>19</v>
      </c>
      <c r="H40" s="2"/>
      <c r="I40" s="7"/>
      <c r="J40" s="4"/>
      <c r="K40" s="12"/>
    </row>
    <row r="41" spans="1:13" x14ac:dyDescent="0.3">
      <c r="A41" s="1"/>
      <c r="B41" s="1"/>
      <c r="C41" s="1"/>
      <c r="D41" s="1"/>
      <c r="E41" s="1"/>
      <c r="F41" s="1"/>
      <c r="G41" s="9" t="s">
        <v>138</v>
      </c>
      <c r="H41" s="9" t="s">
        <v>119</v>
      </c>
      <c r="I41" s="9" t="s">
        <v>25</v>
      </c>
      <c r="J41" s="3" t="s">
        <v>139</v>
      </c>
      <c r="K41" s="13" t="s">
        <v>140</v>
      </c>
      <c r="L41" s="15">
        <f t="shared" si="3"/>
        <v>1.2673611111111094E-2</v>
      </c>
      <c r="M41">
        <f t="shared" si="4"/>
        <v>4</v>
      </c>
    </row>
    <row r="42" spans="1:13" x14ac:dyDescent="0.3">
      <c r="A42" s="1"/>
      <c r="B42" s="1"/>
      <c r="C42" s="1"/>
      <c r="D42" s="1"/>
      <c r="E42" s="1"/>
      <c r="F42" s="1"/>
      <c r="G42" s="9" t="s">
        <v>141</v>
      </c>
      <c r="H42" s="9" t="s">
        <v>119</v>
      </c>
      <c r="I42" s="9" t="s">
        <v>25</v>
      </c>
      <c r="J42" s="3" t="s">
        <v>142</v>
      </c>
      <c r="K42" s="13" t="s">
        <v>143</v>
      </c>
      <c r="L42" s="15">
        <f t="shared" si="3"/>
        <v>1.8113425925925908E-2</v>
      </c>
      <c r="M42">
        <f t="shared" si="4"/>
        <v>9</v>
      </c>
    </row>
    <row r="43" spans="1:13" x14ac:dyDescent="0.3">
      <c r="A43" s="1"/>
      <c r="B43" s="1"/>
      <c r="C43" s="1"/>
      <c r="D43" s="1"/>
      <c r="E43" s="1"/>
      <c r="F43" s="1"/>
      <c r="G43" s="9" t="s">
        <v>144</v>
      </c>
      <c r="H43" s="9" t="s">
        <v>119</v>
      </c>
      <c r="I43" s="9" t="s">
        <v>25</v>
      </c>
      <c r="J43" s="3" t="s">
        <v>145</v>
      </c>
      <c r="K43" s="13" t="s">
        <v>146</v>
      </c>
      <c r="L43" s="15">
        <f t="shared" si="3"/>
        <v>2.4861111111111112E-2</v>
      </c>
      <c r="M43">
        <f t="shared" si="4"/>
        <v>13</v>
      </c>
    </row>
    <row r="44" spans="1:13" x14ac:dyDescent="0.3">
      <c r="A44" s="1"/>
      <c r="B44" s="1"/>
      <c r="C44" s="9" t="s">
        <v>147</v>
      </c>
      <c r="D44" s="9" t="s">
        <v>148</v>
      </c>
      <c r="E44" s="9" t="s">
        <v>149</v>
      </c>
      <c r="F44" s="9" t="s">
        <v>22</v>
      </c>
      <c r="G44" s="9" t="s">
        <v>150</v>
      </c>
      <c r="H44" s="9" t="s">
        <v>127</v>
      </c>
      <c r="I44" s="9" t="s">
        <v>25</v>
      </c>
      <c r="J44" s="3" t="s">
        <v>151</v>
      </c>
      <c r="K44" s="13" t="s">
        <v>152</v>
      </c>
      <c r="L44" s="15">
        <f t="shared" si="3"/>
        <v>3.1481481481481444E-2</v>
      </c>
      <c r="M44">
        <f t="shared" si="4"/>
        <v>11</v>
      </c>
    </row>
    <row r="45" spans="1:13" x14ac:dyDescent="0.3">
      <c r="A45" s="1"/>
      <c r="B45" s="1"/>
      <c r="C45" s="9" t="s">
        <v>153</v>
      </c>
      <c r="D45" s="9" t="s">
        <v>154</v>
      </c>
      <c r="E45" s="9" t="s">
        <v>154</v>
      </c>
      <c r="F45" s="9" t="s">
        <v>22</v>
      </c>
      <c r="G45" s="11" t="s">
        <v>19</v>
      </c>
      <c r="H45" s="2"/>
      <c r="I45" s="7"/>
      <c r="J45" s="4"/>
      <c r="K45" s="12"/>
    </row>
    <row r="46" spans="1:13" x14ac:dyDescent="0.3">
      <c r="A46" s="1"/>
      <c r="B46" s="1"/>
      <c r="C46" s="1"/>
      <c r="D46" s="1"/>
      <c r="E46" s="1"/>
      <c r="F46" s="1"/>
      <c r="G46" s="9" t="s">
        <v>155</v>
      </c>
      <c r="H46" s="9" t="s">
        <v>119</v>
      </c>
      <c r="I46" s="9" t="s">
        <v>25</v>
      </c>
      <c r="J46" s="3" t="s">
        <v>156</v>
      </c>
      <c r="K46" s="13" t="s">
        <v>157</v>
      </c>
      <c r="L46" s="15">
        <f t="shared" si="3"/>
        <v>9.5138888888888912E-3</v>
      </c>
      <c r="M46">
        <f t="shared" si="4"/>
        <v>2</v>
      </c>
    </row>
    <row r="47" spans="1:13" x14ac:dyDescent="0.3">
      <c r="A47" s="1"/>
      <c r="B47" s="1"/>
      <c r="C47" s="1"/>
      <c r="D47" s="1"/>
      <c r="E47" s="1"/>
      <c r="F47" s="1"/>
      <c r="G47" s="9" t="s">
        <v>158</v>
      </c>
      <c r="H47" s="9" t="s">
        <v>119</v>
      </c>
      <c r="I47" s="9" t="s">
        <v>25</v>
      </c>
      <c r="J47" s="3" t="s">
        <v>159</v>
      </c>
      <c r="K47" s="13" t="s">
        <v>160</v>
      </c>
      <c r="L47" s="15">
        <f t="shared" si="3"/>
        <v>1.3425925925925924E-2</v>
      </c>
      <c r="M47">
        <f t="shared" si="4"/>
        <v>4</v>
      </c>
    </row>
    <row r="48" spans="1:13" x14ac:dyDescent="0.3">
      <c r="A48" s="1"/>
      <c r="B48" s="1"/>
      <c r="C48" s="9" t="s">
        <v>88</v>
      </c>
      <c r="D48" s="9" t="s">
        <v>89</v>
      </c>
      <c r="E48" s="9" t="s">
        <v>89</v>
      </c>
      <c r="F48" s="9" t="s">
        <v>22</v>
      </c>
      <c r="G48" s="9" t="s">
        <v>161</v>
      </c>
      <c r="H48" s="9" t="s">
        <v>119</v>
      </c>
      <c r="I48" s="9" t="s">
        <v>25</v>
      </c>
      <c r="J48" s="3" t="s">
        <v>162</v>
      </c>
      <c r="K48" s="13" t="s">
        <v>163</v>
      </c>
      <c r="L48" s="15">
        <f t="shared" si="3"/>
        <v>1.8287037037037102E-2</v>
      </c>
      <c r="M48">
        <f t="shared" si="4"/>
        <v>7</v>
      </c>
    </row>
    <row r="49" spans="1:13" x14ac:dyDescent="0.3">
      <c r="A49" s="1"/>
      <c r="B49" s="1"/>
      <c r="C49" s="9" t="s">
        <v>93</v>
      </c>
      <c r="D49" s="9" t="s">
        <v>94</v>
      </c>
      <c r="E49" s="9" t="s">
        <v>164</v>
      </c>
      <c r="F49" s="9" t="s">
        <v>22</v>
      </c>
      <c r="G49" s="11" t="s">
        <v>19</v>
      </c>
      <c r="H49" s="2"/>
      <c r="I49" s="7"/>
      <c r="J49" s="4"/>
      <c r="K49" s="12"/>
    </row>
    <row r="50" spans="1:13" x14ac:dyDescent="0.3">
      <c r="A50" s="1"/>
      <c r="B50" s="1"/>
      <c r="C50" s="1"/>
      <c r="D50" s="1"/>
      <c r="E50" s="1"/>
      <c r="F50" s="1"/>
      <c r="G50" s="9" t="s">
        <v>165</v>
      </c>
      <c r="H50" s="9" t="s">
        <v>119</v>
      </c>
      <c r="I50" s="9" t="s">
        <v>25</v>
      </c>
      <c r="J50" s="3" t="s">
        <v>166</v>
      </c>
      <c r="K50" s="13" t="s">
        <v>167</v>
      </c>
      <c r="L50" s="15">
        <f t="shared" si="3"/>
        <v>1.4768518518518459E-2</v>
      </c>
      <c r="M50">
        <f t="shared" si="4"/>
        <v>6</v>
      </c>
    </row>
    <row r="51" spans="1:13" x14ac:dyDescent="0.3">
      <c r="A51" s="1"/>
      <c r="B51" s="1"/>
      <c r="C51" s="1"/>
      <c r="D51" s="1"/>
      <c r="E51" s="1"/>
      <c r="F51" s="1"/>
      <c r="G51" s="9" t="s">
        <v>168</v>
      </c>
      <c r="H51" s="9" t="s">
        <v>119</v>
      </c>
      <c r="I51" s="9" t="s">
        <v>25</v>
      </c>
      <c r="J51" s="3" t="s">
        <v>169</v>
      </c>
      <c r="K51" s="13" t="s">
        <v>170</v>
      </c>
      <c r="L51" s="15">
        <f t="shared" si="3"/>
        <v>3.601851851851845E-2</v>
      </c>
      <c r="M51">
        <f t="shared" si="4"/>
        <v>14</v>
      </c>
    </row>
    <row r="52" spans="1:13" x14ac:dyDescent="0.3">
      <c r="A52" s="1"/>
      <c r="B52" s="1"/>
      <c r="C52" s="1"/>
      <c r="D52" s="1"/>
      <c r="E52" s="1"/>
      <c r="F52" s="1"/>
      <c r="G52" s="9" t="s">
        <v>171</v>
      </c>
      <c r="H52" s="9" t="s">
        <v>119</v>
      </c>
      <c r="I52" s="9" t="s">
        <v>25</v>
      </c>
      <c r="J52" s="3" t="s">
        <v>172</v>
      </c>
      <c r="K52" s="13" t="s">
        <v>173</v>
      </c>
      <c r="L52" s="15">
        <f t="shared" si="3"/>
        <v>1.288194444444446E-2</v>
      </c>
      <c r="M52">
        <f t="shared" si="4"/>
        <v>17</v>
      </c>
    </row>
    <row r="53" spans="1:13" x14ac:dyDescent="0.3">
      <c r="A53" s="1"/>
      <c r="B53" s="1"/>
      <c r="C53" s="1"/>
      <c r="D53" s="1"/>
      <c r="E53" s="1"/>
      <c r="F53" s="1"/>
      <c r="G53" s="9" t="s">
        <v>174</v>
      </c>
      <c r="H53" s="9" t="s">
        <v>119</v>
      </c>
      <c r="I53" s="9" t="s">
        <v>25</v>
      </c>
      <c r="J53" s="3" t="s">
        <v>175</v>
      </c>
      <c r="K53" s="13" t="s">
        <v>176</v>
      </c>
      <c r="L53" s="15">
        <f t="shared" si="3"/>
        <v>1.475694444444442E-2</v>
      </c>
      <c r="M53">
        <f t="shared" si="4"/>
        <v>20</v>
      </c>
    </row>
    <row r="54" spans="1:13" x14ac:dyDescent="0.3">
      <c r="A54" s="1"/>
      <c r="B54" s="1"/>
      <c r="C54" s="9" t="s">
        <v>177</v>
      </c>
      <c r="D54" s="9" t="s">
        <v>178</v>
      </c>
      <c r="E54" s="9" t="s">
        <v>178</v>
      </c>
      <c r="F54" s="9" t="s">
        <v>22</v>
      </c>
      <c r="G54" s="11" t="s">
        <v>19</v>
      </c>
      <c r="H54" s="2"/>
      <c r="I54" s="7"/>
      <c r="J54" s="4"/>
      <c r="K54" s="12"/>
    </row>
    <row r="55" spans="1:13" x14ac:dyDescent="0.3">
      <c r="A55" s="1"/>
      <c r="B55" s="1"/>
      <c r="C55" s="1"/>
      <c r="D55" s="1"/>
      <c r="E55" s="1"/>
      <c r="F55" s="1"/>
      <c r="G55" s="9" t="s">
        <v>179</v>
      </c>
      <c r="H55" s="9" t="s">
        <v>119</v>
      </c>
      <c r="I55" s="9" t="s">
        <v>25</v>
      </c>
      <c r="J55" s="3" t="s">
        <v>180</v>
      </c>
      <c r="K55" s="13" t="s">
        <v>181</v>
      </c>
      <c r="L55" s="15">
        <f t="shared" si="3"/>
        <v>1.5300925925925968E-2</v>
      </c>
      <c r="M55">
        <f t="shared" si="4"/>
        <v>6</v>
      </c>
    </row>
    <row r="56" spans="1:13" x14ac:dyDescent="0.3">
      <c r="A56" s="1"/>
      <c r="B56" s="1"/>
      <c r="C56" s="1"/>
      <c r="D56" s="1"/>
      <c r="E56" s="1"/>
      <c r="F56" s="1"/>
      <c r="G56" s="9" t="s">
        <v>182</v>
      </c>
      <c r="H56" s="9" t="s">
        <v>119</v>
      </c>
      <c r="I56" s="9" t="s">
        <v>25</v>
      </c>
      <c r="J56" s="3" t="s">
        <v>183</v>
      </c>
      <c r="K56" s="13" t="s">
        <v>184</v>
      </c>
      <c r="L56" s="15">
        <f t="shared" si="3"/>
        <v>2.0196759259259234E-2</v>
      </c>
      <c r="M56">
        <f t="shared" si="4"/>
        <v>17</v>
      </c>
    </row>
    <row r="57" spans="1:13" x14ac:dyDescent="0.3">
      <c r="A57" s="1"/>
      <c r="B57" s="1"/>
      <c r="C57" s="9" t="s">
        <v>185</v>
      </c>
      <c r="D57" s="9" t="s">
        <v>186</v>
      </c>
      <c r="E57" s="9" t="s">
        <v>186</v>
      </c>
      <c r="F57" s="9" t="s">
        <v>22</v>
      </c>
      <c r="G57" s="9" t="s">
        <v>187</v>
      </c>
      <c r="H57" s="9" t="s">
        <v>119</v>
      </c>
      <c r="I57" s="9" t="s">
        <v>25</v>
      </c>
      <c r="J57" s="3" t="s">
        <v>188</v>
      </c>
      <c r="K57" s="13" t="s">
        <v>189</v>
      </c>
      <c r="L57" s="15">
        <f t="shared" si="3"/>
        <v>1.4467592592592615E-2</v>
      </c>
      <c r="M57">
        <f t="shared" si="4"/>
        <v>5</v>
      </c>
    </row>
    <row r="58" spans="1:13" x14ac:dyDescent="0.3">
      <c r="A58" s="1"/>
      <c r="B58" s="1"/>
      <c r="C58" s="9" t="s">
        <v>47</v>
      </c>
      <c r="D58" s="9" t="s">
        <v>48</v>
      </c>
      <c r="E58" s="9" t="s">
        <v>190</v>
      </c>
      <c r="F58" s="9" t="s">
        <v>22</v>
      </c>
      <c r="G58" s="11" t="s">
        <v>19</v>
      </c>
      <c r="H58" s="2"/>
      <c r="I58" s="7"/>
      <c r="J58" s="4"/>
      <c r="K58" s="12"/>
    </row>
    <row r="59" spans="1:13" x14ac:dyDescent="0.3">
      <c r="A59" s="1"/>
      <c r="B59" s="1"/>
      <c r="C59" s="1"/>
      <c r="D59" s="1"/>
      <c r="E59" s="1"/>
      <c r="F59" s="1"/>
      <c r="G59" s="9" t="s">
        <v>191</v>
      </c>
      <c r="H59" s="9" t="s">
        <v>192</v>
      </c>
      <c r="I59" s="9" t="s">
        <v>25</v>
      </c>
      <c r="J59" s="3" t="s">
        <v>193</v>
      </c>
      <c r="K59" s="13" t="s">
        <v>194</v>
      </c>
      <c r="L59" s="15">
        <f t="shared" si="3"/>
        <v>2.4259259259259314E-2</v>
      </c>
      <c r="M59">
        <f t="shared" si="4"/>
        <v>15</v>
      </c>
    </row>
    <row r="60" spans="1:13" x14ac:dyDescent="0.3">
      <c r="A60" s="1"/>
      <c r="B60" s="1"/>
      <c r="C60" s="1"/>
      <c r="D60" s="1"/>
      <c r="E60" s="1"/>
      <c r="F60" s="1"/>
      <c r="G60" s="9" t="s">
        <v>195</v>
      </c>
      <c r="H60" s="9" t="s">
        <v>192</v>
      </c>
      <c r="I60" s="9" t="s">
        <v>25</v>
      </c>
      <c r="J60" s="3" t="s">
        <v>196</v>
      </c>
      <c r="K60" s="13" t="s">
        <v>197</v>
      </c>
      <c r="L60" s="15">
        <f t="shared" si="3"/>
        <v>3.0879629629629535E-2</v>
      </c>
      <c r="M60">
        <f t="shared" si="4"/>
        <v>16</v>
      </c>
    </row>
    <row r="61" spans="1:13" x14ac:dyDescent="0.3">
      <c r="A61" s="1"/>
      <c r="B61" s="1"/>
      <c r="C61" s="1"/>
      <c r="D61" s="1"/>
      <c r="E61" s="1"/>
      <c r="F61" s="1"/>
      <c r="G61" s="9" t="s">
        <v>198</v>
      </c>
      <c r="H61" s="9" t="s">
        <v>192</v>
      </c>
      <c r="I61" s="9" t="s">
        <v>25</v>
      </c>
      <c r="J61" s="3" t="s">
        <v>199</v>
      </c>
      <c r="K61" s="13" t="s">
        <v>200</v>
      </c>
      <c r="L61" s="15">
        <f t="shared" si="3"/>
        <v>2.1493055555555474E-2</v>
      </c>
      <c r="M61">
        <f t="shared" si="4"/>
        <v>16</v>
      </c>
    </row>
    <row r="62" spans="1:13" x14ac:dyDescent="0.3">
      <c r="A62" s="1"/>
      <c r="B62" s="1"/>
      <c r="C62" s="1"/>
      <c r="D62" s="1"/>
      <c r="E62" s="1"/>
      <c r="F62" s="1"/>
      <c r="G62" s="9" t="s">
        <v>201</v>
      </c>
      <c r="H62" s="9" t="s">
        <v>192</v>
      </c>
      <c r="I62" s="9" t="s">
        <v>25</v>
      </c>
      <c r="J62" s="3" t="s">
        <v>202</v>
      </c>
      <c r="K62" s="13" t="s">
        <v>203</v>
      </c>
      <c r="L62" s="15">
        <f t="shared" si="3"/>
        <v>1.2789351851851816E-2</v>
      </c>
      <c r="M62">
        <f t="shared" si="4"/>
        <v>18</v>
      </c>
    </row>
    <row r="63" spans="1:13" x14ac:dyDescent="0.3">
      <c r="A63" s="1"/>
      <c r="B63" s="1"/>
      <c r="C63" s="9" t="s">
        <v>204</v>
      </c>
      <c r="D63" s="9" t="s">
        <v>205</v>
      </c>
      <c r="E63" s="9" t="s">
        <v>205</v>
      </c>
      <c r="F63" s="9" t="s">
        <v>22</v>
      </c>
      <c r="G63" s="9" t="s">
        <v>206</v>
      </c>
      <c r="H63" s="9" t="s">
        <v>119</v>
      </c>
      <c r="I63" s="9" t="s">
        <v>25</v>
      </c>
      <c r="J63" s="3" t="s">
        <v>207</v>
      </c>
      <c r="K63" s="13" t="s">
        <v>208</v>
      </c>
      <c r="L63" s="15">
        <f t="shared" si="3"/>
        <v>1.8414351851851807E-2</v>
      </c>
      <c r="M63">
        <f t="shared" si="4"/>
        <v>9</v>
      </c>
    </row>
    <row r="64" spans="1:13" x14ac:dyDescent="0.3">
      <c r="A64" s="1"/>
      <c r="B64" s="1"/>
      <c r="C64" s="9" t="s">
        <v>209</v>
      </c>
      <c r="D64" s="9" t="s">
        <v>210</v>
      </c>
      <c r="E64" s="9" t="s">
        <v>210</v>
      </c>
      <c r="F64" s="9" t="s">
        <v>22</v>
      </c>
      <c r="G64" s="9" t="s">
        <v>211</v>
      </c>
      <c r="H64" s="9" t="s">
        <v>119</v>
      </c>
      <c r="I64" s="9" t="s">
        <v>25</v>
      </c>
      <c r="J64" s="3" t="s">
        <v>212</v>
      </c>
      <c r="K64" s="13" t="s">
        <v>213</v>
      </c>
      <c r="L64" s="15">
        <f t="shared" si="3"/>
        <v>2.285879629629628E-2</v>
      </c>
      <c r="M64">
        <f t="shared" si="4"/>
        <v>10</v>
      </c>
    </row>
    <row r="65" spans="1:13" x14ac:dyDescent="0.3">
      <c r="A65" s="9" t="s">
        <v>214</v>
      </c>
      <c r="B65" s="9" t="s">
        <v>215</v>
      </c>
      <c r="C65" s="11" t="s">
        <v>19</v>
      </c>
      <c r="D65" s="2"/>
      <c r="E65" s="2"/>
      <c r="F65" s="2"/>
      <c r="G65" s="2"/>
      <c r="H65" s="2"/>
      <c r="I65" s="7"/>
      <c r="J65" s="4"/>
      <c r="K65" s="12"/>
    </row>
    <row r="66" spans="1:13" x14ac:dyDescent="0.3">
      <c r="A66" s="1"/>
      <c r="B66" s="1"/>
      <c r="C66" s="9" t="s">
        <v>216</v>
      </c>
      <c r="D66" s="9" t="s">
        <v>217</v>
      </c>
      <c r="E66" s="9" t="s">
        <v>217</v>
      </c>
      <c r="F66" s="9" t="s">
        <v>22</v>
      </c>
      <c r="G66" s="11" t="s">
        <v>19</v>
      </c>
      <c r="H66" s="2"/>
      <c r="I66" s="7"/>
      <c r="J66" s="4"/>
      <c r="K66" s="12"/>
    </row>
    <row r="67" spans="1:13" x14ac:dyDescent="0.3">
      <c r="A67" s="1"/>
      <c r="B67" s="1"/>
      <c r="C67" s="1"/>
      <c r="D67" s="1"/>
      <c r="E67" s="1"/>
      <c r="F67" s="1"/>
      <c r="G67" s="9" t="s">
        <v>218</v>
      </c>
      <c r="H67" s="9" t="s">
        <v>119</v>
      </c>
      <c r="I67" s="9" t="s">
        <v>25</v>
      </c>
      <c r="J67" s="3" t="s">
        <v>219</v>
      </c>
      <c r="K67" s="13" t="s">
        <v>220</v>
      </c>
      <c r="L67" s="15">
        <f t="shared" ref="L67:L130" si="5">K67-J67</f>
        <v>1.9826388888888935E-2</v>
      </c>
      <c r="M67">
        <f t="shared" ref="M67:M130" si="6">HOUR(J67)</f>
        <v>5</v>
      </c>
    </row>
    <row r="68" spans="1:13" x14ac:dyDescent="0.3">
      <c r="A68" s="1"/>
      <c r="B68" s="1"/>
      <c r="C68" s="1"/>
      <c r="D68" s="1"/>
      <c r="E68" s="1"/>
      <c r="F68" s="1"/>
      <c r="G68" s="9" t="s">
        <v>221</v>
      </c>
      <c r="H68" s="9" t="s">
        <v>119</v>
      </c>
      <c r="I68" s="9" t="s">
        <v>25</v>
      </c>
      <c r="J68" s="3" t="s">
        <v>222</v>
      </c>
      <c r="K68" s="13" t="s">
        <v>223</v>
      </c>
      <c r="L68" s="15">
        <f t="shared" si="5"/>
        <v>4.2372685185185166E-2</v>
      </c>
      <c r="M68">
        <f t="shared" si="6"/>
        <v>11</v>
      </c>
    </row>
    <row r="69" spans="1:13" x14ac:dyDescent="0.3">
      <c r="A69" s="1"/>
      <c r="B69" s="1"/>
      <c r="C69" s="1"/>
      <c r="D69" s="1"/>
      <c r="E69" s="1"/>
      <c r="F69" s="1"/>
      <c r="G69" s="9" t="s">
        <v>224</v>
      </c>
      <c r="H69" s="9" t="s">
        <v>119</v>
      </c>
      <c r="I69" s="9" t="s">
        <v>25</v>
      </c>
      <c r="J69" s="3" t="s">
        <v>225</v>
      </c>
      <c r="K69" s="13" t="s">
        <v>226</v>
      </c>
      <c r="L69" s="15">
        <f t="shared" si="5"/>
        <v>4.2129629629629628E-2</v>
      </c>
      <c r="M69">
        <f t="shared" si="6"/>
        <v>14</v>
      </c>
    </row>
    <row r="70" spans="1:13" x14ac:dyDescent="0.3">
      <c r="A70" s="1"/>
      <c r="B70" s="1"/>
      <c r="C70" s="9" t="s">
        <v>116</v>
      </c>
      <c r="D70" s="9" t="s">
        <v>117</v>
      </c>
      <c r="E70" s="9" t="s">
        <v>117</v>
      </c>
      <c r="F70" s="9" t="s">
        <v>22</v>
      </c>
      <c r="G70" s="11" t="s">
        <v>19</v>
      </c>
      <c r="H70" s="2"/>
      <c r="I70" s="7"/>
      <c r="J70" s="4"/>
      <c r="K70" s="12"/>
    </row>
    <row r="71" spans="1:13" x14ac:dyDescent="0.3">
      <c r="A71" s="1"/>
      <c r="B71" s="1"/>
      <c r="C71" s="1"/>
      <c r="D71" s="1"/>
      <c r="E71" s="1"/>
      <c r="F71" s="1"/>
      <c r="G71" s="9" t="s">
        <v>227</v>
      </c>
      <c r="H71" s="9" t="s">
        <v>119</v>
      </c>
      <c r="I71" s="9" t="s">
        <v>25</v>
      </c>
      <c r="J71" s="3" t="s">
        <v>228</v>
      </c>
      <c r="K71" s="13" t="s">
        <v>229</v>
      </c>
      <c r="L71" s="15">
        <f t="shared" si="5"/>
        <v>1.1400462962962959E-2</v>
      </c>
      <c r="M71">
        <f t="shared" si="6"/>
        <v>4</v>
      </c>
    </row>
    <row r="72" spans="1:13" x14ac:dyDescent="0.3">
      <c r="A72" s="1"/>
      <c r="B72" s="1"/>
      <c r="C72" s="1"/>
      <c r="D72" s="1"/>
      <c r="E72" s="1"/>
      <c r="F72" s="1"/>
      <c r="G72" s="9" t="s">
        <v>230</v>
      </c>
      <c r="H72" s="9" t="s">
        <v>119</v>
      </c>
      <c r="I72" s="9" t="s">
        <v>25</v>
      </c>
      <c r="J72" s="3" t="s">
        <v>231</v>
      </c>
      <c r="K72" s="13" t="s">
        <v>232</v>
      </c>
      <c r="L72" s="15">
        <f t="shared" si="5"/>
        <v>1.3483796296296313E-2</v>
      </c>
      <c r="M72">
        <f t="shared" si="6"/>
        <v>7</v>
      </c>
    </row>
    <row r="73" spans="1:13" x14ac:dyDescent="0.3">
      <c r="A73" s="1"/>
      <c r="B73" s="1"/>
      <c r="C73" s="1"/>
      <c r="D73" s="1"/>
      <c r="E73" s="1"/>
      <c r="F73" s="1"/>
      <c r="G73" s="9" t="s">
        <v>233</v>
      </c>
      <c r="H73" s="9" t="s">
        <v>119</v>
      </c>
      <c r="I73" s="9" t="s">
        <v>25</v>
      </c>
      <c r="J73" s="3" t="s">
        <v>234</v>
      </c>
      <c r="K73" s="13" t="s">
        <v>235</v>
      </c>
      <c r="L73" s="15">
        <f t="shared" si="5"/>
        <v>1.2430555555555556E-2</v>
      </c>
      <c r="M73">
        <f t="shared" si="6"/>
        <v>7</v>
      </c>
    </row>
    <row r="74" spans="1:13" x14ac:dyDescent="0.3">
      <c r="A74" s="1"/>
      <c r="B74" s="1"/>
      <c r="C74" s="1"/>
      <c r="D74" s="1"/>
      <c r="E74" s="1"/>
      <c r="F74" s="1"/>
      <c r="G74" s="9" t="s">
        <v>236</v>
      </c>
      <c r="H74" s="9" t="s">
        <v>119</v>
      </c>
      <c r="I74" s="9" t="s">
        <v>25</v>
      </c>
      <c r="J74" s="3" t="s">
        <v>237</v>
      </c>
      <c r="K74" s="13" t="s">
        <v>238</v>
      </c>
      <c r="L74" s="15">
        <f t="shared" si="5"/>
        <v>1.2986111111111087E-2</v>
      </c>
      <c r="M74">
        <f t="shared" si="6"/>
        <v>9</v>
      </c>
    </row>
    <row r="75" spans="1:13" x14ac:dyDescent="0.3">
      <c r="A75" s="1"/>
      <c r="B75" s="1"/>
      <c r="C75" s="1"/>
      <c r="D75" s="1"/>
      <c r="E75" s="1"/>
      <c r="F75" s="1"/>
      <c r="G75" s="9" t="s">
        <v>239</v>
      </c>
      <c r="H75" s="9" t="s">
        <v>119</v>
      </c>
      <c r="I75" s="9" t="s">
        <v>25</v>
      </c>
      <c r="J75" s="3" t="s">
        <v>240</v>
      </c>
      <c r="K75" s="13" t="s">
        <v>241</v>
      </c>
      <c r="L75" s="15">
        <f t="shared" si="5"/>
        <v>1.4166666666666661E-2</v>
      </c>
      <c r="M75">
        <f t="shared" si="6"/>
        <v>9</v>
      </c>
    </row>
    <row r="76" spans="1:13" x14ac:dyDescent="0.3">
      <c r="A76" s="1"/>
      <c r="B76" s="1"/>
      <c r="C76" s="1"/>
      <c r="D76" s="1"/>
      <c r="E76" s="1"/>
      <c r="F76" s="1"/>
      <c r="G76" s="9" t="s">
        <v>242</v>
      </c>
      <c r="H76" s="9" t="s">
        <v>119</v>
      </c>
      <c r="I76" s="9" t="s">
        <v>25</v>
      </c>
      <c r="J76" s="3" t="s">
        <v>243</v>
      </c>
      <c r="K76" s="13" t="s">
        <v>244</v>
      </c>
      <c r="L76" s="15">
        <f t="shared" si="5"/>
        <v>1.4456018518518521E-2</v>
      </c>
      <c r="M76">
        <f t="shared" si="6"/>
        <v>12</v>
      </c>
    </row>
    <row r="77" spans="1:13" x14ac:dyDescent="0.3">
      <c r="A77" s="1"/>
      <c r="B77" s="1"/>
      <c r="C77" s="1"/>
      <c r="D77" s="1"/>
      <c r="E77" s="1"/>
      <c r="F77" s="1"/>
      <c r="G77" s="9" t="s">
        <v>245</v>
      </c>
      <c r="H77" s="9" t="s">
        <v>119</v>
      </c>
      <c r="I77" s="9" t="s">
        <v>25</v>
      </c>
      <c r="J77" s="3" t="s">
        <v>246</v>
      </c>
      <c r="K77" s="13" t="s">
        <v>247</v>
      </c>
      <c r="L77" s="15">
        <f t="shared" si="5"/>
        <v>1.9178240740740704E-2</v>
      </c>
      <c r="M77">
        <f t="shared" si="6"/>
        <v>15</v>
      </c>
    </row>
    <row r="78" spans="1:13" x14ac:dyDescent="0.3">
      <c r="A78" s="1"/>
      <c r="B78" s="1"/>
      <c r="C78" s="1"/>
      <c r="D78" s="1"/>
      <c r="E78" s="1"/>
      <c r="F78" s="1"/>
      <c r="G78" s="9" t="s">
        <v>248</v>
      </c>
      <c r="H78" s="9" t="s">
        <v>119</v>
      </c>
      <c r="I78" s="9" t="s">
        <v>25</v>
      </c>
      <c r="J78" s="3" t="s">
        <v>249</v>
      </c>
      <c r="K78" s="13" t="s">
        <v>250</v>
      </c>
      <c r="L78" s="15">
        <f t="shared" si="5"/>
        <v>1.2673611111110983E-2</v>
      </c>
      <c r="M78">
        <f t="shared" si="6"/>
        <v>18</v>
      </c>
    </row>
    <row r="79" spans="1:13" x14ac:dyDescent="0.3">
      <c r="A79" s="1"/>
      <c r="B79" s="1"/>
      <c r="C79" s="1"/>
      <c r="D79" s="1"/>
      <c r="E79" s="1"/>
      <c r="F79" s="1"/>
      <c r="G79" s="9" t="s">
        <v>251</v>
      </c>
      <c r="H79" s="9" t="s">
        <v>119</v>
      </c>
      <c r="I79" s="9" t="s">
        <v>25</v>
      </c>
      <c r="J79" s="3" t="s">
        <v>252</v>
      </c>
      <c r="K79" s="13" t="s">
        <v>253</v>
      </c>
      <c r="L79" s="15">
        <f t="shared" si="5"/>
        <v>1.1782407407407325E-2</v>
      </c>
      <c r="M79">
        <f t="shared" si="6"/>
        <v>20</v>
      </c>
    </row>
    <row r="80" spans="1:13" x14ac:dyDescent="0.3">
      <c r="A80" s="1"/>
      <c r="B80" s="1"/>
      <c r="C80" s="9" t="s">
        <v>136</v>
      </c>
      <c r="D80" s="9" t="s">
        <v>137</v>
      </c>
      <c r="E80" s="9" t="s">
        <v>137</v>
      </c>
      <c r="F80" s="9" t="s">
        <v>22</v>
      </c>
      <c r="G80" s="11" t="s">
        <v>19</v>
      </c>
      <c r="H80" s="2"/>
      <c r="I80" s="7"/>
      <c r="J80" s="4"/>
      <c r="K80" s="12"/>
    </row>
    <row r="81" spans="1:13" x14ac:dyDescent="0.3">
      <c r="A81" s="1"/>
      <c r="B81" s="1"/>
      <c r="C81" s="1"/>
      <c r="D81" s="1"/>
      <c r="E81" s="1"/>
      <c r="F81" s="1"/>
      <c r="G81" s="9" t="s">
        <v>254</v>
      </c>
      <c r="H81" s="9" t="s">
        <v>119</v>
      </c>
      <c r="I81" s="9" t="s">
        <v>25</v>
      </c>
      <c r="J81" s="3" t="s">
        <v>255</v>
      </c>
      <c r="K81" s="13" t="s">
        <v>256</v>
      </c>
      <c r="L81" s="15">
        <f t="shared" si="5"/>
        <v>1.2430555555555584E-2</v>
      </c>
      <c r="M81">
        <f t="shared" si="6"/>
        <v>4</v>
      </c>
    </row>
    <row r="82" spans="1:13" x14ac:dyDescent="0.3">
      <c r="A82" s="1"/>
      <c r="B82" s="1"/>
      <c r="C82" s="1"/>
      <c r="D82" s="1"/>
      <c r="E82" s="1"/>
      <c r="F82" s="1"/>
      <c r="G82" s="9" t="s">
        <v>257</v>
      </c>
      <c r="H82" s="9" t="s">
        <v>119</v>
      </c>
      <c r="I82" s="9" t="s">
        <v>25</v>
      </c>
      <c r="J82" s="3" t="s">
        <v>258</v>
      </c>
      <c r="K82" s="13" t="s">
        <v>259</v>
      </c>
      <c r="L82" s="15">
        <f t="shared" si="5"/>
        <v>1.5451388888888917E-2</v>
      </c>
      <c r="M82">
        <f t="shared" si="6"/>
        <v>6</v>
      </c>
    </row>
    <row r="83" spans="1:13" x14ac:dyDescent="0.3">
      <c r="A83" s="1"/>
      <c r="B83" s="1"/>
      <c r="C83" s="1"/>
      <c r="D83" s="1"/>
      <c r="E83" s="1"/>
      <c r="F83" s="1"/>
      <c r="G83" s="9" t="s">
        <v>260</v>
      </c>
      <c r="H83" s="9" t="s">
        <v>119</v>
      </c>
      <c r="I83" s="9" t="s">
        <v>25</v>
      </c>
      <c r="J83" s="3" t="s">
        <v>261</v>
      </c>
      <c r="K83" s="13" t="s">
        <v>262</v>
      </c>
      <c r="L83" s="15">
        <f t="shared" si="5"/>
        <v>1.0983796296296255E-2</v>
      </c>
      <c r="M83">
        <f t="shared" si="6"/>
        <v>7</v>
      </c>
    </row>
    <row r="84" spans="1:13" x14ac:dyDescent="0.3">
      <c r="A84" s="1"/>
      <c r="B84" s="1"/>
      <c r="C84" s="1"/>
      <c r="D84" s="1"/>
      <c r="E84" s="1"/>
      <c r="F84" s="1"/>
      <c r="G84" s="9" t="s">
        <v>263</v>
      </c>
      <c r="H84" s="9" t="s">
        <v>119</v>
      </c>
      <c r="I84" s="9" t="s">
        <v>25</v>
      </c>
      <c r="J84" s="3" t="s">
        <v>264</v>
      </c>
      <c r="K84" s="13" t="s">
        <v>265</v>
      </c>
      <c r="L84" s="15">
        <f t="shared" si="5"/>
        <v>1.4918981481481464E-2</v>
      </c>
      <c r="M84">
        <f t="shared" si="6"/>
        <v>7</v>
      </c>
    </row>
    <row r="85" spans="1:13" x14ac:dyDescent="0.3">
      <c r="A85" s="1"/>
      <c r="B85" s="1"/>
      <c r="C85" s="1"/>
      <c r="D85" s="1"/>
      <c r="E85" s="1"/>
      <c r="F85" s="1"/>
      <c r="G85" s="9" t="s">
        <v>266</v>
      </c>
      <c r="H85" s="9" t="s">
        <v>119</v>
      </c>
      <c r="I85" s="9" t="s">
        <v>25</v>
      </c>
      <c r="J85" s="3" t="s">
        <v>267</v>
      </c>
      <c r="K85" s="13" t="s">
        <v>268</v>
      </c>
      <c r="L85" s="15">
        <f t="shared" si="5"/>
        <v>1.6458333333333408E-2</v>
      </c>
      <c r="M85">
        <f t="shared" si="6"/>
        <v>9</v>
      </c>
    </row>
    <row r="86" spans="1:13" x14ac:dyDescent="0.3">
      <c r="A86" s="1"/>
      <c r="B86" s="1"/>
      <c r="C86" s="1"/>
      <c r="D86" s="1"/>
      <c r="E86" s="1"/>
      <c r="F86" s="1"/>
      <c r="G86" s="9" t="s">
        <v>269</v>
      </c>
      <c r="H86" s="9" t="s">
        <v>119</v>
      </c>
      <c r="I86" s="9" t="s">
        <v>25</v>
      </c>
      <c r="J86" s="3" t="s">
        <v>270</v>
      </c>
      <c r="K86" s="13" t="s">
        <v>271</v>
      </c>
      <c r="L86" s="15">
        <f t="shared" si="5"/>
        <v>3.9710648148148175E-2</v>
      </c>
      <c r="M86">
        <f t="shared" si="6"/>
        <v>10</v>
      </c>
    </row>
    <row r="87" spans="1:13" x14ac:dyDescent="0.3">
      <c r="A87" s="1"/>
      <c r="B87" s="1"/>
      <c r="C87" s="9" t="s">
        <v>147</v>
      </c>
      <c r="D87" s="9" t="s">
        <v>148</v>
      </c>
      <c r="E87" s="11" t="s">
        <v>19</v>
      </c>
      <c r="F87" s="2"/>
      <c r="G87" s="2"/>
      <c r="H87" s="2"/>
      <c r="I87" s="7"/>
      <c r="J87" s="4"/>
      <c r="K87" s="12"/>
    </row>
    <row r="88" spans="1:13" x14ac:dyDescent="0.3">
      <c r="A88" s="1"/>
      <c r="B88" s="1"/>
      <c r="C88" s="1"/>
      <c r="D88" s="1"/>
      <c r="E88" s="9" t="s">
        <v>272</v>
      </c>
      <c r="F88" s="9" t="s">
        <v>22</v>
      </c>
      <c r="G88" s="11" t="s">
        <v>19</v>
      </c>
      <c r="H88" s="2"/>
      <c r="I88" s="7"/>
      <c r="J88" s="4"/>
      <c r="K88" s="12"/>
    </row>
    <row r="89" spans="1:13" x14ac:dyDescent="0.3">
      <c r="A89" s="1"/>
      <c r="B89" s="1"/>
      <c r="C89" s="1"/>
      <c r="D89" s="1"/>
      <c r="E89" s="1"/>
      <c r="F89" s="1"/>
      <c r="G89" s="9" t="s">
        <v>273</v>
      </c>
      <c r="H89" s="9" t="s">
        <v>119</v>
      </c>
      <c r="I89" s="9" t="s">
        <v>25</v>
      </c>
      <c r="J89" s="3" t="s">
        <v>274</v>
      </c>
      <c r="K89" s="13" t="s">
        <v>275</v>
      </c>
      <c r="L89" s="15">
        <f t="shared" si="5"/>
        <v>1.5902777777777821E-2</v>
      </c>
      <c r="M89">
        <f t="shared" si="6"/>
        <v>9</v>
      </c>
    </row>
    <row r="90" spans="1:13" x14ac:dyDescent="0.3">
      <c r="A90" s="1"/>
      <c r="B90" s="1"/>
      <c r="C90" s="1"/>
      <c r="D90" s="1"/>
      <c r="E90" s="1"/>
      <c r="F90" s="1"/>
      <c r="G90" s="9" t="s">
        <v>276</v>
      </c>
      <c r="H90" s="9" t="s">
        <v>119</v>
      </c>
      <c r="I90" s="9" t="s">
        <v>25</v>
      </c>
      <c r="J90" s="3" t="s">
        <v>277</v>
      </c>
      <c r="K90" s="13" t="s">
        <v>278</v>
      </c>
      <c r="L90" s="15">
        <f t="shared" si="5"/>
        <v>1.7743055555555554E-2</v>
      </c>
      <c r="M90">
        <f t="shared" si="6"/>
        <v>9</v>
      </c>
    </row>
    <row r="91" spans="1:13" x14ac:dyDescent="0.3">
      <c r="A91" s="1"/>
      <c r="B91" s="1"/>
      <c r="C91" s="1"/>
      <c r="D91" s="1"/>
      <c r="E91" s="1"/>
      <c r="F91" s="1"/>
      <c r="G91" s="9" t="s">
        <v>279</v>
      </c>
      <c r="H91" s="9" t="s">
        <v>119</v>
      </c>
      <c r="I91" s="9" t="s">
        <v>25</v>
      </c>
      <c r="J91" s="3" t="s">
        <v>280</v>
      </c>
      <c r="K91" s="13" t="s">
        <v>281</v>
      </c>
      <c r="L91" s="15">
        <f t="shared" si="5"/>
        <v>2.7523148148148158E-2</v>
      </c>
      <c r="M91">
        <f t="shared" si="6"/>
        <v>9</v>
      </c>
    </row>
    <row r="92" spans="1:13" x14ac:dyDescent="0.3">
      <c r="A92" s="1"/>
      <c r="B92" s="1"/>
      <c r="C92" s="1"/>
      <c r="D92" s="1"/>
      <c r="E92" s="1"/>
      <c r="F92" s="1"/>
      <c r="G92" s="9" t="s">
        <v>282</v>
      </c>
      <c r="H92" s="9" t="s">
        <v>119</v>
      </c>
      <c r="I92" s="9" t="s">
        <v>25</v>
      </c>
      <c r="J92" s="3" t="s">
        <v>283</v>
      </c>
      <c r="K92" s="13" t="s">
        <v>284</v>
      </c>
      <c r="L92" s="15">
        <f t="shared" si="5"/>
        <v>3.228009259259268E-2</v>
      </c>
      <c r="M92">
        <f t="shared" si="6"/>
        <v>10</v>
      </c>
    </row>
    <row r="93" spans="1:13" x14ac:dyDescent="0.3">
      <c r="A93" s="1"/>
      <c r="B93" s="1"/>
      <c r="C93" s="1"/>
      <c r="D93" s="1"/>
      <c r="E93" s="1"/>
      <c r="F93" s="1"/>
      <c r="G93" s="9" t="s">
        <v>285</v>
      </c>
      <c r="H93" s="9" t="s">
        <v>119</v>
      </c>
      <c r="I93" s="9" t="s">
        <v>25</v>
      </c>
      <c r="J93" s="3" t="s">
        <v>286</v>
      </c>
      <c r="K93" s="13" t="s">
        <v>287</v>
      </c>
      <c r="L93" s="15">
        <f t="shared" si="5"/>
        <v>4.8344907407407434E-2</v>
      </c>
      <c r="M93">
        <f t="shared" si="6"/>
        <v>10</v>
      </c>
    </row>
    <row r="94" spans="1:13" x14ac:dyDescent="0.3">
      <c r="A94" s="1"/>
      <c r="B94" s="1"/>
      <c r="C94" s="1"/>
      <c r="D94" s="1"/>
      <c r="E94" s="1"/>
      <c r="F94" s="1"/>
      <c r="G94" s="9" t="s">
        <v>288</v>
      </c>
      <c r="H94" s="9" t="s">
        <v>119</v>
      </c>
      <c r="I94" s="9" t="s">
        <v>25</v>
      </c>
      <c r="J94" s="3" t="s">
        <v>289</v>
      </c>
      <c r="K94" s="13" t="s">
        <v>290</v>
      </c>
      <c r="L94" s="15">
        <f t="shared" si="5"/>
        <v>2.4293981481481541E-2</v>
      </c>
      <c r="M94">
        <f t="shared" si="6"/>
        <v>12</v>
      </c>
    </row>
    <row r="95" spans="1:13" x14ac:dyDescent="0.3">
      <c r="A95" s="1"/>
      <c r="B95" s="1"/>
      <c r="C95" s="1"/>
      <c r="D95" s="1"/>
      <c r="E95" s="1"/>
      <c r="F95" s="1"/>
      <c r="G95" s="9" t="s">
        <v>291</v>
      </c>
      <c r="H95" s="9" t="s">
        <v>119</v>
      </c>
      <c r="I95" s="9" t="s">
        <v>25</v>
      </c>
      <c r="J95" s="3" t="s">
        <v>292</v>
      </c>
      <c r="K95" s="13" t="s">
        <v>293</v>
      </c>
      <c r="L95" s="15">
        <f t="shared" si="5"/>
        <v>2.7847222222222245E-2</v>
      </c>
      <c r="M95">
        <f t="shared" si="6"/>
        <v>12</v>
      </c>
    </row>
    <row r="96" spans="1:13" x14ac:dyDescent="0.3">
      <c r="A96" s="1"/>
      <c r="B96" s="1"/>
      <c r="C96" s="1"/>
      <c r="D96" s="1"/>
      <c r="E96" s="1"/>
      <c r="F96" s="1"/>
      <c r="G96" s="9" t="s">
        <v>294</v>
      </c>
      <c r="H96" s="9" t="s">
        <v>119</v>
      </c>
      <c r="I96" s="9" t="s">
        <v>25</v>
      </c>
      <c r="J96" s="3" t="s">
        <v>295</v>
      </c>
      <c r="K96" s="13" t="s">
        <v>296</v>
      </c>
      <c r="L96" s="15">
        <f t="shared" si="5"/>
        <v>2.6759259259259149E-2</v>
      </c>
      <c r="M96">
        <f t="shared" si="6"/>
        <v>13</v>
      </c>
    </row>
    <row r="97" spans="1:13" x14ac:dyDescent="0.3">
      <c r="A97" s="1"/>
      <c r="B97" s="1"/>
      <c r="C97" s="1"/>
      <c r="D97" s="1"/>
      <c r="E97" s="1"/>
      <c r="F97" s="1"/>
      <c r="G97" s="9" t="s">
        <v>297</v>
      </c>
      <c r="H97" s="9" t="s">
        <v>119</v>
      </c>
      <c r="I97" s="9" t="s">
        <v>25</v>
      </c>
      <c r="J97" s="3" t="s">
        <v>298</v>
      </c>
      <c r="K97" s="13" t="s">
        <v>299</v>
      </c>
      <c r="L97" s="15">
        <f t="shared" si="5"/>
        <v>2.7662037037036957E-2</v>
      </c>
      <c r="M97">
        <f t="shared" si="6"/>
        <v>14</v>
      </c>
    </row>
    <row r="98" spans="1:13" x14ac:dyDescent="0.3">
      <c r="A98" s="1"/>
      <c r="B98" s="1"/>
      <c r="C98" s="1"/>
      <c r="D98" s="1"/>
      <c r="E98" s="9" t="s">
        <v>300</v>
      </c>
      <c r="F98" s="9" t="s">
        <v>22</v>
      </c>
      <c r="G98" s="11" t="s">
        <v>19</v>
      </c>
      <c r="H98" s="2"/>
      <c r="I98" s="7"/>
      <c r="J98" s="4"/>
      <c r="K98" s="12"/>
    </row>
    <row r="99" spans="1:13" x14ac:dyDescent="0.3">
      <c r="A99" s="1"/>
      <c r="B99" s="1"/>
      <c r="C99" s="1"/>
      <c r="D99" s="1"/>
      <c r="E99" s="1"/>
      <c r="F99" s="1"/>
      <c r="G99" s="9" t="s">
        <v>301</v>
      </c>
      <c r="H99" s="9" t="s">
        <v>119</v>
      </c>
      <c r="I99" s="9" t="s">
        <v>25</v>
      </c>
      <c r="J99" s="3" t="s">
        <v>302</v>
      </c>
      <c r="K99" s="13" t="s">
        <v>303</v>
      </c>
      <c r="L99" s="15">
        <f t="shared" si="5"/>
        <v>1.5497685185185184E-2</v>
      </c>
      <c r="M99">
        <f t="shared" si="6"/>
        <v>8</v>
      </c>
    </row>
    <row r="100" spans="1:13" x14ac:dyDescent="0.3">
      <c r="A100" s="1"/>
      <c r="B100" s="1"/>
      <c r="C100" s="1"/>
      <c r="D100" s="1"/>
      <c r="E100" s="1"/>
      <c r="F100" s="1"/>
      <c r="G100" s="9" t="s">
        <v>304</v>
      </c>
      <c r="H100" s="9" t="s">
        <v>119</v>
      </c>
      <c r="I100" s="9" t="s">
        <v>25</v>
      </c>
      <c r="J100" s="3" t="s">
        <v>305</v>
      </c>
      <c r="K100" s="13" t="s">
        <v>306</v>
      </c>
      <c r="L100" s="15">
        <f t="shared" si="5"/>
        <v>2.2488425925925926E-2</v>
      </c>
      <c r="M100">
        <f t="shared" si="6"/>
        <v>11</v>
      </c>
    </row>
    <row r="101" spans="1:13" x14ac:dyDescent="0.3">
      <c r="A101" s="1"/>
      <c r="B101" s="1"/>
      <c r="C101" s="1"/>
      <c r="D101" s="1"/>
      <c r="E101" s="1"/>
      <c r="F101" s="1"/>
      <c r="G101" s="9" t="s">
        <v>307</v>
      </c>
      <c r="H101" s="9" t="s">
        <v>119</v>
      </c>
      <c r="I101" s="9" t="s">
        <v>25</v>
      </c>
      <c r="J101" s="3" t="s">
        <v>308</v>
      </c>
      <c r="K101" s="13" t="s">
        <v>309</v>
      </c>
      <c r="L101" s="15">
        <f t="shared" si="5"/>
        <v>2.5115740740740744E-2</v>
      </c>
      <c r="M101">
        <f t="shared" si="6"/>
        <v>11</v>
      </c>
    </row>
    <row r="102" spans="1:13" x14ac:dyDescent="0.3">
      <c r="A102" s="1"/>
      <c r="B102" s="1"/>
      <c r="C102" s="1"/>
      <c r="D102" s="1"/>
      <c r="E102" s="1"/>
      <c r="F102" s="1"/>
      <c r="G102" s="9" t="s">
        <v>310</v>
      </c>
      <c r="H102" s="9" t="s">
        <v>119</v>
      </c>
      <c r="I102" s="9" t="s">
        <v>25</v>
      </c>
      <c r="J102" s="3" t="s">
        <v>311</v>
      </c>
      <c r="K102" s="13" t="s">
        <v>312</v>
      </c>
      <c r="L102" s="15">
        <f t="shared" si="5"/>
        <v>1.4490740740740637E-2</v>
      </c>
      <c r="M102">
        <f t="shared" si="6"/>
        <v>12</v>
      </c>
    </row>
    <row r="103" spans="1:13" x14ac:dyDescent="0.3">
      <c r="A103" s="1"/>
      <c r="B103" s="1"/>
      <c r="C103" s="1"/>
      <c r="D103" s="1"/>
      <c r="E103" s="1"/>
      <c r="F103" s="1"/>
      <c r="G103" s="9" t="s">
        <v>313</v>
      </c>
      <c r="H103" s="9" t="s">
        <v>119</v>
      </c>
      <c r="I103" s="9" t="s">
        <v>25</v>
      </c>
      <c r="J103" s="3" t="s">
        <v>314</v>
      </c>
      <c r="K103" s="13" t="s">
        <v>315</v>
      </c>
      <c r="L103" s="15">
        <f t="shared" si="5"/>
        <v>1.4965277777777786E-2</v>
      </c>
      <c r="M103">
        <f t="shared" si="6"/>
        <v>13</v>
      </c>
    </row>
    <row r="104" spans="1:13" x14ac:dyDescent="0.3">
      <c r="A104" s="1"/>
      <c r="B104" s="1"/>
      <c r="C104" s="1"/>
      <c r="D104" s="1"/>
      <c r="E104" s="1"/>
      <c r="F104" s="1"/>
      <c r="G104" s="9" t="s">
        <v>316</v>
      </c>
      <c r="H104" s="9" t="s">
        <v>119</v>
      </c>
      <c r="I104" s="9" t="s">
        <v>25</v>
      </c>
      <c r="J104" s="3" t="s">
        <v>317</v>
      </c>
      <c r="K104" s="13" t="s">
        <v>318</v>
      </c>
      <c r="L104" s="15">
        <f t="shared" si="5"/>
        <v>3.4988425925925881E-2</v>
      </c>
      <c r="M104">
        <f t="shared" si="6"/>
        <v>14</v>
      </c>
    </row>
    <row r="105" spans="1:13" x14ac:dyDescent="0.3">
      <c r="A105" s="1"/>
      <c r="B105" s="1"/>
      <c r="C105" s="9" t="s">
        <v>153</v>
      </c>
      <c r="D105" s="9" t="s">
        <v>154</v>
      </c>
      <c r="E105" s="9" t="s">
        <v>154</v>
      </c>
      <c r="F105" s="9" t="s">
        <v>22</v>
      </c>
      <c r="G105" s="9" t="s">
        <v>319</v>
      </c>
      <c r="H105" s="9" t="s">
        <v>119</v>
      </c>
      <c r="I105" s="9" t="s">
        <v>25</v>
      </c>
      <c r="J105" s="3" t="s">
        <v>320</v>
      </c>
      <c r="K105" s="13" t="s">
        <v>321</v>
      </c>
      <c r="L105" s="15">
        <f t="shared" si="5"/>
        <v>1.6307870370370361E-2</v>
      </c>
      <c r="M105">
        <f t="shared" si="6"/>
        <v>2</v>
      </c>
    </row>
    <row r="106" spans="1:13" x14ac:dyDescent="0.3">
      <c r="A106" s="1"/>
      <c r="B106" s="1"/>
      <c r="C106" s="9" t="s">
        <v>322</v>
      </c>
      <c r="D106" s="9" t="s">
        <v>323</v>
      </c>
      <c r="E106" s="9" t="s">
        <v>323</v>
      </c>
      <c r="F106" s="9" t="s">
        <v>22</v>
      </c>
      <c r="G106" s="11" t="s">
        <v>19</v>
      </c>
      <c r="H106" s="2"/>
      <c r="I106" s="7"/>
      <c r="J106" s="4"/>
      <c r="K106" s="12"/>
    </row>
    <row r="107" spans="1:13" x14ac:dyDescent="0.3">
      <c r="A107" s="1"/>
      <c r="B107" s="1"/>
      <c r="C107" s="1"/>
      <c r="D107" s="1"/>
      <c r="E107" s="1"/>
      <c r="F107" s="1"/>
      <c r="G107" s="9" t="s">
        <v>324</v>
      </c>
      <c r="H107" s="9" t="s">
        <v>119</v>
      </c>
      <c r="I107" s="9" t="s">
        <v>25</v>
      </c>
      <c r="J107" s="3" t="s">
        <v>325</v>
      </c>
      <c r="K107" s="13" t="s">
        <v>326</v>
      </c>
      <c r="L107" s="15">
        <f t="shared" si="5"/>
        <v>2.879629629629632E-2</v>
      </c>
      <c r="M107">
        <f t="shared" si="6"/>
        <v>10</v>
      </c>
    </row>
    <row r="108" spans="1:13" x14ac:dyDescent="0.3">
      <c r="A108" s="1"/>
      <c r="B108" s="1"/>
      <c r="C108" s="1"/>
      <c r="D108" s="1"/>
      <c r="E108" s="1"/>
      <c r="F108" s="1"/>
      <c r="G108" s="9" t="s">
        <v>327</v>
      </c>
      <c r="H108" s="9" t="s">
        <v>119</v>
      </c>
      <c r="I108" s="9" t="s">
        <v>25</v>
      </c>
      <c r="J108" s="3" t="s">
        <v>328</v>
      </c>
      <c r="K108" s="13" t="s">
        <v>329</v>
      </c>
      <c r="L108" s="15">
        <f t="shared" si="5"/>
        <v>3.5555555555555562E-2</v>
      </c>
      <c r="M108">
        <f t="shared" si="6"/>
        <v>11</v>
      </c>
    </row>
    <row r="109" spans="1:13" x14ac:dyDescent="0.3">
      <c r="A109" s="1"/>
      <c r="B109" s="1"/>
      <c r="C109" s="1"/>
      <c r="D109" s="1"/>
      <c r="E109" s="1"/>
      <c r="F109" s="1"/>
      <c r="G109" s="9" t="s">
        <v>330</v>
      </c>
      <c r="H109" s="9" t="s">
        <v>119</v>
      </c>
      <c r="I109" s="9" t="s">
        <v>25</v>
      </c>
      <c r="J109" s="3" t="s">
        <v>331</v>
      </c>
      <c r="K109" s="13" t="s">
        <v>332</v>
      </c>
      <c r="L109" s="15">
        <f t="shared" si="5"/>
        <v>1.4791666666666647E-2</v>
      </c>
      <c r="M109">
        <f t="shared" si="6"/>
        <v>12</v>
      </c>
    </row>
    <row r="110" spans="1:13" x14ac:dyDescent="0.3">
      <c r="A110" s="1"/>
      <c r="B110" s="1"/>
      <c r="C110" s="1"/>
      <c r="D110" s="1"/>
      <c r="E110" s="1"/>
      <c r="F110" s="1"/>
      <c r="G110" s="9" t="s">
        <v>333</v>
      </c>
      <c r="H110" s="9" t="s">
        <v>119</v>
      </c>
      <c r="I110" s="9" t="s">
        <v>25</v>
      </c>
      <c r="J110" s="3" t="s">
        <v>334</v>
      </c>
      <c r="K110" s="13" t="s">
        <v>335</v>
      </c>
      <c r="L110" s="15">
        <f t="shared" si="5"/>
        <v>4.5462962962962927E-2</v>
      </c>
      <c r="M110">
        <f t="shared" si="6"/>
        <v>14</v>
      </c>
    </row>
    <row r="111" spans="1:13" x14ac:dyDescent="0.3">
      <c r="A111" s="1"/>
      <c r="B111" s="1"/>
      <c r="C111" s="1"/>
      <c r="D111" s="1"/>
      <c r="E111" s="1"/>
      <c r="F111" s="1"/>
      <c r="G111" s="9" t="s">
        <v>336</v>
      </c>
      <c r="H111" s="9" t="s">
        <v>119</v>
      </c>
      <c r="I111" s="9" t="s">
        <v>25</v>
      </c>
      <c r="J111" s="3" t="s">
        <v>337</v>
      </c>
      <c r="K111" s="13" t="s">
        <v>338</v>
      </c>
      <c r="L111" s="15">
        <f t="shared" si="5"/>
        <v>1.4733796296296231E-2</v>
      </c>
      <c r="M111">
        <f t="shared" si="6"/>
        <v>15</v>
      </c>
    </row>
    <row r="112" spans="1:13" x14ac:dyDescent="0.3">
      <c r="A112" s="1"/>
      <c r="B112" s="1"/>
      <c r="C112" s="9" t="s">
        <v>93</v>
      </c>
      <c r="D112" s="9" t="s">
        <v>94</v>
      </c>
      <c r="E112" s="11" t="s">
        <v>19</v>
      </c>
      <c r="F112" s="2"/>
      <c r="G112" s="2"/>
      <c r="H112" s="2"/>
      <c r="I112" s="7"/>
      <c r="J112" s="4"/>
      <c r="K112" s="12"/>
    </row>
    <row r="113" spans="1:13" x14ac:dyDescent="0.3">
      <c r="A113" s="1"/>
      <c r="B113" s="1"/>
      <c r="C113" s="1"/>
      <c r="D113" s="1"/>
      <c r="E113" s="9" t="s">
        <v>94</v>
      </c>
      <c r="F113" s="9" t="s">
        <v>22</v>
      </c>
      <c r="G113" s="11" t="s">
        <v>19</v>
      </c>
      <c r="H113" s="2"/>
      <c r="I113" s="7"/>
      <c r="J113" s="4"/>
      <c r="K113" s="12"/>
    </row>
    <row r="114" spans="1:13" x14ac:dyDescent="0.3">
      <c r="A114" s="1"/>
      <c r="B114" s="1"/>
      <c r="C114" s="1"/>
      <c r="D114" s="1"/>
      <c r="E114" s="1"/>
      <c r="F114" s="1"/>
      <c r="G114" s="9" t="s">
        <v>339</v>
      </c>
      <c r="H114" s="9" t="s">
        <v>119</v>
      </c>
      <c r="I114" s="9" t="s">
        <v>25</v>
      </c>
      <c r="J114" s="3" t="s">
        <v>340</v>
      </c>
      <c r="K114" s="16" t="s">
        <v>341</v>
      </c>
      <c r="L114" s="15">
        <f t="shared" si="5"/>
        <v>1.2407407407407405E-2</v>
      </c>
      <c r="M114">
        <v>0</v>
      </c>
    </row>
    <row r="115" spans="1:13" x14ac:dyDescent="0.3">
      <c r="A115" s="1"/>
      <c r="B115" s="1"/>
      <c r="C115" s="1"/>
      <c r="D115" s="1"/>
      <c r="E115" s="1"/>
      <c r="F115" s="1"/>
      <c r="G115" s="9" t="s">
        <v>342</v>
      </c>
      <c r="H115" s="9" t="s">
        <v>119</v>
      </c>
      <c r="I115" s="9" t="s">
        <v>25</v>
      </c>
      <c r="J115" s="3" t="s">
        <v>343</v>
      </c>
      <c r="K115" s="13" t="s">
        <v>344</v>
      </c>
      <c r="L115" s="15">
        <f t="shared" si="5"/>
        <v>1.8668981481481467E-2</v>
      </c>
      <c r="M115">
        <f t="shared" si="6"/>
        <v>5</v>
      </c>
    </row>
    <row r="116" spans="1:13" x14ac:dyDescent="0.3">
      <c r="A116" s="1"/>
      <c r="B116" s="1"/>
      <c r="C116" s="1"/>
      <c r="D116" s="1"/>
      <c r="E116" s="1"/>
      <c r="F116" s="1"/>
      <c r="G116" s="9" t="s">
        <v>345</v>
      </c>
      <c r="H116" s="9" t="s">
        <v>119</v>
      </c>
      <c r="I116" s="9" t="s">
        <v>25</v>
      </c>
      <c r="J116" s="3" t="s">
        <v>346</v>
      </c>
      <c r="K116" s="13" t="s">
        <v>347</v>
      </c>
      <c r="L116" s="15">
        <f t="shared" si="5"/>
        <v>2.994212962962961E-2</v>
      </c>
      <c r="M116">
        <f t="shared" si="6"/>
        <v>10</v>
      </c>
    </row>
    <row r="117" spans="1:13" x14ac:dyDescent="0.3">
      <c r="A117" s="1"/>
      <c r="B117" s="1"/>
      <c r="C117" s="1"/>
      <c r="D117" s="1"/>
      <c r="E117" s="1"/>
      <c r="F117" s="1"/>
      <c r="G117" s="9" t="s">
        <v>348</v>
      </c>
      <c r="H117" s="9" t="s">
        <v>119</v>
      </c>
      <c r="I117" s="9" t="s">
        <v>25</v>
      </c>
      <c r="J117" s="3" t="s">
        <v>349</v>
      </c>
      <c r="K117" s="13" t="s">
        <v>350</v>
      </c>
      <c r="L117" s="15">
        <f t="shared" si="5"/>
        <v>1.9826388888888935E-2</v>
      </c>
      <c r="M117">
        <f t="shared" si="6"/>
        <v>11</v>
      </c>
    </row>
    <row r="118" spans="1:13" x14ac:dyDescent="0.3">
      <c r="A118" s="1"/>
      <c r="B118" s="1"/>
      <c r="C118" s="1"/>
      <c r="D118" s="1"/>
      <c r="E118" s="9" t="s">
        <v>164</v>
      </c>
      <c r="F118" s="9" t="s">
        <v>22</v>
      </c>
      <c r="G118" s="9" t="s">
        <v>351</v>
      </c>
      <c r="H118" s="9" t="s">
        <v>119</v>
      </c>
      <c r="I118" s="9" t="s">
        <v>25</v>
      </c>
      <c r="J118" s="3" t="s">
        <v>352</v>
      </c>
      <c r="K118" s="13" t="s">
        <v>353</v>
      </c>
      <c r="L118" s="15">
        <f t="shared" si="5"/>
        <v>4.4155092592592593E-2</v>
      </c>
      <c r="M118">
        <f t="shared" si="6"/>
        <v>10</v>
      </c>
    </row>
    <row r="119" spans="1:13" x14ac:dyDescent="0.3">
      <c r="A119" s="1"/>
      <c r="B119" s="1"/>
      <c r="C119" s="9" t="s">
        <v>354</v>
      </c>
      <c r="D119" s="9" t="s">
        <v>355</v>
      </c>
      <c r="E119" s="9" t="s">
        <v>355</v>
      </c>
      <c r="F119" s="9" t="s">
        <v>22</v>
      </c>
      <c r="G119" s="11" t="s">
        <v>19</v>
      </c>
      <c r="H119" s="2"/>
      <c r="I119" s="7"/>
      <c r="J119" s="4"/>
      <c r="K119" s="12"/>
    </row>
    <row r="120" spans="1:13" x14ac:dyDescent="0.3">
      <c r="A120" s="1"/>
      <c r="B120" s="1"/>
      <c r="C120" s="1"/>
      <c r="D120" s="1"/>
      <c r="E120" s="1"/>
      <c r="F120" s="1"/>
      <c r="G120" s="9" t="s">
        <v>356</v>
      </c>
      <c r="H120" s="9" t="s">
        <v>119</v>
      </c>
      <c r="I120" s="9" t="s">
        <v>25</v>
      </c>
      <c r="J120" s="3" t="s">
        <v>357</v>
      </c>
      <c r="K120" s="13" t="s">
        <v>358</v>
      </c>
      <c r="L120" s="15">
        <f t="shared" si="5"/>
        <v>1.4826388888888903E-2</v>
      </c>
      <c r="M120">
        <f t="shared" si="6"/>
        <v>5</v>
      </c>
    </row>
    <row r="121" spans="1:13" x14ac:dyDescent="0.3">
      <c r="A121" s="1"/>
      <c r="B121" s="1"/>
      <c r="C121" s="1"/>
      <c r="D121" s="1"/>
      <c r="E121" s="1"/>
      <c r="F121" s="1"/>
      <c r="G121" s="9" t="s">
        <v>359</v>
      </c>
      <c r="H121" s="9" t="s">
        <v>119</v>
      </c>
      <c r="I121" s="9" t="s">
        <v>25</v>
      </c>
      <c r="J121" s="3" t="s">
        <v>360</v>
      </c>
      <c r="K121" s="13" t="s">
        <v>361</v>
      </c>
      <c r="L121" s="15">
        <f t="shared" si="5"/>
        <v>2.0451388888888977E-2</v>
      </c>
      <c r="M121">
        <f t="shared" si="6"/>
        <v>19</v>
      </c>
    </row>
    <row r="122" spans="1:13" x14ac:dyDescent="0.3">
      <c r="A122" s="1"/>
      <c r="B122" s="1"/>
      <c r="C122" s="1"/>
      <c r="D122" s="1"/>
      <c r="E122" s="1"/>
      <c r="F122" s="1"/>
      <c r="G122" s="9" t="s">
        <v>362</v>
      </c>
      <c r="H122" s="9" t="s">
        <v>119</v>
      </c>
      <c r="I122" s="9" t="s">
        <v>25</v>
      </c>
      <c r="J122" s="3" t="s">
        <v>363</v>
      </c>
      <c r="K122" s="13" t="s">
        <v>364</v>
      </c>
      <c r="L122" s="15">
        <f t="shared" si="5"/>
        <v>2.9409722222222268E-2</v>
      </c>
      <c r="M122">
        <f t="shared" si="6"/>
        <v>13</v>
      </c>
    </row>
    <row r="123" spans="1:13" x14ac:dyDescent="0.3">
      <c r="A123" s="1"/>
      <c r="B123" s="1"/>
      <c r="C123" s="1"/>
      <c r="D123" s="1"/>
      <c r="E123" s="1"/>
      <c r="F123" s="1"/>
      <c r="G123" s="9" t="s">
        <v>365</v>
      </c>
      <c r="H123" s="9" t="s">
        <v>119</v>
      </c>
      <c r="I123" s="9" t="s">
        <v>25</v>
      </c>
      <c r="J123" s="3" t="s">
        <v>366</v>
      </c>
      <c r="K123" s="13" t="s">
        <v>367</v>
      </c>
      <c r="L123" s="15">
        <f t="shared" si="5"/>
        <v>1.2662037037036944E-2</v>
      </c>
      <c r="M123">
        <f t="shared" si="6"/>
        <v>18</v>
      </c>
    </row>
    <row r="124" spans="1:13" x14ac:dyDescent="0.3">
      <c r="A124" s="1"/>
      <c r="B124" s="1"/>
      <c r="C124" s="1"/>
      <c r="D124" s="1"/>
      <c r="E124" s="1"/>
      <c r="F124" s="1"/>
      <c r="G124" s="9" t="s">
        <v>368</v>
      </c>
      <c r="H124" s="9" t="s">
        <v>119</v>
      </c>
      <c r="I124" s="9" t="s">
        <v>25</v>
      </c>
      <c r="J124" s="3" t="s">
        <v>369</v>
      </c>
      <c r="K124" s="13" t="s">
        <v>370</v>
      </c>
      <c r="L124" s="15">
        <f t="shared" si="5"/>
        <v>1.5416666666666634E-2</v>
      </c>
      <c r="M124">
        <f t="shared" si="6"/>
        <v>21</v>
      </c>
    </row>
    <row r="125" spans="1:13" x14ac:dyDescent="0.3">
      <c r="A125" s="1"/>
      <c r="B125" s="1"/>
      <c r="C125" s="9" t="s">
        <v>177</v>
      </c>
      <c r="D125" s="9" t="s">
        <v>178</v>
      </c>
      <c r="E125" s="9" t="s">
        <v>178</v>
      </c>
      <c r="F125" s="9" t="s">
        <v>22</v>
      </c>
      <c r="G125" s="11" t="s">
        <v>19</v>
      </c>
      <c r="H125" s="2"/>
      <c r="I125" s="7"/>
      <c r="J125" s="4"/>
      <c r="K125" s="12"/>
    </row>
    <row r="126" spans="1:13" x14ac:dyDescent="0.3">
      <c r="A126" s="1"/>
      <c r="B126" s="1"/>
      <c r="C126" s="1"/>
      <c r="D126" s="1"/>
      <c r="E126" s="1"/>
      <c r="F126" s="1"/>
      <c r="G126" s="9" t="s">
        <v>371</v>
      </c>
      <c r="H126" s="9" t="s">
        <v>119</v>
      </c>
      <c r="I126" s="9" t="s">
        <v>25</v>
      </c>
      <c r="J126" s="3" t="s">
        <v>372</v>
      </c>
      <c r="K126" s="13" t="s">
        <v>373</v>
      </c>
      <c r="L126" s="15">
        <f t="shared" si="5"/>
        <v>3.8993055555555545E-2</v>
      </c>
      <c r="M126">
        <f t="shared" si="6"/>
        <v>14</v>
      </c>
    </row>
    <row r="127" spans="1:13" x14ac:dyDescent="0.3">
      <c r="A127" s="1"/>
      <c r="B127" s="1"/>
      <c r="C127" s="1"/>
      <c r="D127" s="1"/>
      <c r="E127" s="1"/>
      <c r="F127" s="1"/>
      <c r="G127" s="9" t="s">
        <v>374</v>
      </c>
      <c r="H127" s="9" t="s">
        <v>119</v>
      </c>
      <c r="I127" s="9" t="s">
        <v>25</v>
      </c>
      <c r="J127" s="3" t="s">
        <v>375</v>
      </c>
      <c r="K127" s="13" t="s">
        <v>376</v>
      </c>
      <c r="L127" s="15">
        <f t="shared" si="5"/>
        <v>1.3587962962963052E-2</v>
      </c>
      <c r="M127">
        <f t="shared" si="6"/>
        <v>17</v>
      </c>
    </row>
    <row r="128" spans="1:13" x14ac:dyDescent="0.3">
      <c r="A128" s="1"/>
      <c r="B128" s="1"/>
      <c r="C128" s="9" t="s">
        <v>185</v>
      </c>
      <c r="D128" s="9" t="s">
        <v>186</v>
      </c>
      <c r="E128" s="9" t="s">
        <v>186</v>
      </c>
      <c r="F128" s="9" t="s">
        <v>22</v>
      </c>
      <c r="G128" s="9" t="s">
        <v>377</v>
      </c>
      <c r="H128" s="9" t="s">
        <v>119</v>
      </c>
      <c r="I128" s="9" t="s">
        <v>25</v>
      </c>
      <c r="J128" s="3" t="s">
        <v>378</v>
      </c>
      <c r="K128" s="13" t="s">
        <v>379</v>
      </c>
      <c r="L128" s="15">
        <f t="shared" si="5"/>
        <v>4.7280092592592637E-2</v>
      </c>
      <c r="M128">
        <f t="shared" si="6"/>
        <v>10</v>
      </c>
    </row>
    <row r="129" spans="1:13" x14ac:dyDescent="0.3">
      <c r="A129" s="1"/>
      <c r="B129" s="1"/>
      <c r="C129" s="9" t="s">
        <v>47</v>
      </c>
      <c r="D129" s="9" t="s">
        <v>48</v>
      </c>
      <c r="E129" s="9" t="s">
        <v>190</v>
      </c>
      <c r="F129" s="9" t="s">
        <v>22</v>
      </c>
      <c r="G129" s="11" t="s">
        <v>19</v>
      </c>
      <c r="H129" s="2"/>
      <c r="I129" s="7"/>
      <c r="J129" s="4"/>
      <c r="K129" s="12"/>
    </row>
    <row r="130" spans="1:13" x14ac:dyDescent="0.3">
      <c r="A130" s="1"/>
      <c r="B130" s="1"/>
      <c r="C130" s="1"/>
      <c r="D130" s="1"/>
      <c r="E130" s="1"/>
      <c r="F130" s="1"/>
      <c r="G130" s="9" t="s">
        <v>380</v>
      </c>
      <c r="H130" s="9" t="s">
        <v>192</v>
      </c>
      <c r="I130" s="9" t="s">
        <v>25</v>
      </c>
      <c r="J130" s="3" t="s">
        <v>381</v>
      </c>
      <c r="K130" s="13" t="s">
        <v>382</v>
      </c>
      <c r="L130" s="15">
        <f t="shared" si="5"/>
        <v>1.3831018518518534E-2</v>
      </c>
      <c r="M130">
        <f t="shared" si="6"/>
        <v>6</v>
      </c>
    </row>
    <row r="131" spans="1:13" x14ac:dyDescent="0.3">
      <c r="A131" s="1"/>
      <c r="B131" s="1"/>
      <c r="C131" s="1"/>
      <c r="D131" s="1"/>
      <c r="E131" s="1"/>
      <c r="F131" s="1"/>
      <c r="G131" s="9" t="s">
        <v>383</v>
      </c>
      <c r="H131" s="9" t="s">
        <v>192</v>
      </c>
      <c r="I131" s="9" t="s">
        <v>25</v>
      </c>
      <c r="J131" s="3" t="s">
        <v>384</v>
      </c>
      <c r="K131" s="13" t="s">
        <v>385</v>
      </c>
      <c r="L131" s="15">
        <f t="shared" ref="L131:L162" si="7">K131-J131</f>
        <v>1.635416666666667E-2</v>
      </c>
      <c r="M131">
        <f t="shared" ref="M131:M162" si="8">HOUR(J131)</f>
        <v>9</v>
      </c>
    </row>
    <row r="132" spans="1:13" x14ac:dyDescent="0.3">
      <c r="A132" s="1"/>
      <c r="B132" s="1"/>
      <c r="C132" s="1"/>
      <c r="D132" s="1"/>
      <c r="E132" s="1"/>
      <c r="F132" s="1"/>
      <c r="G132" s="9" t="s">
        <v>386</v>
      </c>
      <c r="H132" s="9" t="s">
        <v>192</v>
      </c>
      <c r="I132" s="9" t="s">
        <v>25</v>
      </c>
      <c r="J132" s="3" t="s">
        <v>387</v>
      </c>
      <c r="K132" s="13" t="s">
        <v>388</v>
      </c>
      <c r="L132" s="15">
        <f t="shared" si="7"/>
        <v>2.1111111111111081E-2</v>
      </c>
      <c r="M132">
        <f t="shared" si="8"/>
        <v>9</v>
      </c>
    </row>
    <row r="133" spans="1:13" x14ac:dyDescent="0.3">
      <c r="A133" s="1"/>
      <c r="B133" s="1"/>
      <c r="C133" s="1"/>
      <c r="D133" s="1"/>
      <c r="E133" s="1"/>
      <c r="F133" s="1"/>
      <c r="G133" s="9" t="s">
        <v>389</v>
      </c>
      <c r="H133" s="9" t="s">
        <v>192</v>
      </c>
      <c r="I133" s="9" t="s">
        <v>25</v>
      </c>
      <c r="J133" s="3" t="s">
        <v>390</v>
      </c>
      <c r="K133" s="13" t="s">
        <v>391</v>
      </c>
      <c r="L133" s="15">
        <f t="shared" si="7"/>
        <v>4.2361111111111072E-2</v>
      </c>
      <c r="M133">
        <f t="shared" si="8"/>
        <v>10</v>
      </c>
    </row>
    <row r="134" spans="1:13" x14ac:dyDescent="0.3">
      <c r="A134" s="1"/>
      <c r="B134" s="1"/>
      <c r="C134" s="1"/>
      <c r="D134" s="1"/>
      <c r="E134" s="1"/>
      <c r="F134" s="1"/>
      <c r="G134" s="9" t="s">
        <v>392</v>
      </c>
      <c r="H134" s="9" t="s">
        <v>192</v>
      </c>
      <c r="I134" s="9" t="s">
        <v>25</v>
      </c>
      <c r="J134" s="3" t="s">
        <v>393</v>
      </c>
      <c r="K134" s="13" t="s">
        <v>394</v>
      </c>
      <c r="L134" s="15">
        <f t="shared" si="7"/>
        <v>4.3206018518518519E-2</v>
      </c>
      <c r="M134">
        <f t="shared" si="8"/>
        <v>10</v>
      </c>
    </row>
    <row r="135" spans="1:13" x14ac:dyDescent="0.3">
      <c r="A135" s="1"/>
      <c r="B135" s="1"/>
      <c r="C135" s="9" t="s">
        <v>395</v>
      </c>
      <c r="D135" s="9" t="s">
        <v>396</v>
      </c>
      <c r="E135" s="9" t="s">
        <v>396</v>
      </c>
      <c r="F135" s="9" t="s">
        <v>22</v>
      </c>
      <c r="G135" s="11" t="s">
        <v>19</v>
      </c>
      <c r="H135" s="2"/>
      <c r="I135" s="7"/>
      <c r="J135" s="4"/>
      <c r="K135" s="12"/>
    </row>
    <row r="136" spans="1:13" x14ac:dyDescent="0.3">
      <c r="A136" s="1"/>
      <c r="B136" s="1"/>
      <c r="C136" s="1"/>
      <c r="D136" s="1"/>
      <c r="E136" s="1"/>
      <c r="F136" s="1"/>
      <c r="G136" s="9" t="s">
        <v>397</v>
      </c>
      <c r="H136" s="9" t="s">
        <v>119</v>
      </c>
      <c r="I136" s="9" t="s">
        <v>25</v>
      </c>
      <c r="J136" s="3" t="s">
        <v>398</v>
      </c>
      <c r="K136" s="13" t="s">
        <v>399</v>
      </c>
      <c r="L136" s="15">
        <f t="shared" si="7"/>
        <v>1.4803240740740742E-2</v>
      </c>
      <c r="M136">
        <f t="shared" si="8"/>
        <v>8</v>
      </c>
    </row>
    <row r="137" spans="1:13" x14ac:dyDescent="0.3">
      <c r="A137" s="1"/>
      <c r="B137" s="1"/>
      <c r="C137" s="1"/>
      <c r="D137" s="1"/>
      <c r="E137" s="1"/>
      <c r="F137" s="1"/>
      <c r="G137" s="9" t="s">
        <v>400</v>
      </c>
      <c r="H137" s="9" t="s">
        <v>119</v>
      </c>
      <c r="I137" s="9" t="s">
        <v>25</v>
      </c>
      <c r="J137" s="3" t="s">
        <v>401</v>
      </c>
      <c r="K137" s="13" t="s">
        <v>402</v>
      </c>
      <c r="L137" s="15">
        <f t="shared" si="7"/>
        <v>2.0277777777777728E-2</v>
      </c>
      <c r="M137">
        <f t="shared" si="8"/>
        <v>13</v>
      </c>
    </row>
    <row r="138" spans="1:13" x14ac:dyDescent="0.3">
      <c r="A138" s="1"/>
      <c r="B138" s="1"/>
      <c r="C138" s="9" t="s">
        <v>403</v>
      </c>
      <c r="D138" s="9" t="s">
        <v>404</v>
      </c>
      <c r="E138" s="9" t="s">
        <v>404</v>
      </c>
      <c r="F138" s="9" t="s">
        <v>22</v>
      </c>
      <c r="G138" s="9" t="s">
        <v>405</v>
      </c>
      <c r="H138" s="9" t="s">
        <v>119</v>
      </c>
      <c r="I138" s="9" t="s">
        <v>25</v>
      </c>
      <c r="J138" s="3" t="s">
        <v>406</v>
      </c>
      <c r="K138" s="13" t="s">
        <v>407</v>
      </c>
      <c r="L138" s="15">
        <f t="shared" si="7"/>
        <v>2.2395833333333309E-2</v>
      </c>
      <c r="M138">
        <f t="shared" si="8"/>
        <v>5</v>
      </c>
    </row>
    <row r="139" spans="1:13" x14ac:dyDescent="0.3">
      <c r="A139" s="1"/>
      <c r="B139" s="1"/>
      <c r="C139" s="9" t="s">
        <v>204</v>
      </c>
      <c r="D139" s="9" t="s">
        <v>205</v>
      </c>
      <c r="E139" s="9" t="s">
        <v>205</v>
      </c>
      <c r="F139" s="9" t="s">
        <v>22</v>
      </c>
      <c r="G139" s="11" t="s">
        <v>19</v>
      </c>
      <c r="H139" s="2"/>
      <c r="I139" s="7"/>
      <c r="J139" s="4"/>
      <c r="K139" s="12"/>
    </row>
    <row r="140" spans="1:13" x14ac:dyDescent="0.3">
      <c r="A140" s="1"/>
      <c r="B140" s="1"/>
      <c r="C140" s="1"/>
      <c r="D140" s="1"/>
      <c r="E140" s="1"/>
      <c r="F140" s="1"/>
      <c r="G140" s="9" t="s">
        <v>408</v>
      </c>
      <c r="H140" s="9" t="s">
        <v>119</v>
      </c>
      <c r="I140" s="9" t="s">
        <v>25</v>
      </c>
      <c r="J140" s="3" t="s">
        <v>409</v>
      </c>
      <c r="K140" s="13" t="s">
        <v>410</v>
      </c>
      <c r="L140" s="15">
        <f t="shared" si="7"/>
        <v>2.1493055555555571E-2</v>
      </c>
      <c r="M140">
        <f t="shared" si="8"/>
        <v>2</v>
      </c>
    </row>
    <row r="141" spans="1:13" x14ac:dyDescent="0.3">
      <c r="A141" s="1"/>
      <c r="B141" s="1"/>
      <c r="C141" s="1"/>
      <c r="D141" s="1"/>
      <c r="E141" s="1"/>
      <c r="F141" s="1"/>
      <c r="G141" s="9" t="s">
        <v>411</v>
      </c>
      <c r="H141" s="9" t="s">
        <v>119</v>
      </c>
      <c r="I141" s="9" t="s">
        <v>25</v>
      </c>
      <c r="J141" s="3" t="s">
        <v>412</v>
      </c>
      <c r="K141" s="13" t="s">
        <v>413</v>
      </c>
      <c r="L141" s="15">
        <f t="shared" si="7"/>
        <v>1.3495370370370352E-2</v>
      </c>
      <c r="M141">
        <f t="shared" si="8"/>
        <v>6</v>
      </c>
    </row>
    <row r="142" spans="1:13" x14ac:dyDescent="0.3">
      <c r="A142" s="9" t="s">
        <v>414</v>
      </c>
      <c r="B142" s="9" t="s">
        <v>415</v>
      </c>
      <c r="C142" s="11" t="s">
        <v>19</v>
      </c>
      <c r="D142" s="2"/>
      <c r="E142" s="2"/>
      <c r="F142" s="2"/>
      <c r="G142" s="2"/>
      <c r="H142" s="2"/>
      <c r="I142" s="7"/>
      <c r="J142" s="4"/>
      <c r="K142" s="12"/>
    </row>
    <row r="143" spans="1:13" x14ac:dyDescent="0.3">
      <c r="A143" s="1"/>
      <c r="B143" s="1"/>
      <c r="C143" s="9" t="s">
        <v>416</v>
      </c>
      <c r="D143" s="9" t="s">
        <v>417</v>
      </c>
      <c r="E143" s="9" t="s">
        <v>417</v>
      </c>
      <c r="F143" s="9" t="s">
        <v>418</v>
      </c>
      <c r="G143" s="9" t="s">
        <v>419</v>
      </c>
      <c r="H143" s="9" t="s">
        <v>119</v>
      </c>
      <c r="I143" s="9" t="s">
        <v>25</v>
      </c>
      <c r="J143" s="3" t="s">
        <v>420</v>
      </c>
      <c r="K143" s="13" t="s">
        <v>421</v>
      </c>
      <c r="L143" s="15">
        <f t="shared" si="7"/>
        <v>2.4930555555555567E-2</v>
      </c>
      <c r="M143">
        <f t="shared" si="8"/>
        <v>17</v>
      </c>
    </row>
    <row r="144" spans="1:13" x14ac:dyDescent="0.3">
      <c r="A144" s="1"/>
      <c r="B144" s="1"/>
      <c r="C144" s="9" t="s">
        <v>422</v>
      </c>
      <c r="D144" s="9" t="s">
        <v>423</v>
      </c>
      <c r="E144" s="9" t="s">
        <v>423</v>
      </c>
      <c r="F144" s="9" t="s">
        <v>418</v>
      </c>
      <c r="G144" s="9" t="s">
        <v>424</v>
      </c>
      <c r="H144" s="9" t="s">
        <v>119</v>
      </c>
      <c r="I144" s="9" t="s">
        <v>25</v>
      </c>
      <c r="J144" s="3" t="s">
        <v>425</v>
      </c>
      <c r="K144" s="13" t="s">
        <v>426</v>
      </c>
      <c r="L144" s="15">
        <f t="shared" si="7"/>
        <v>2.1736111111111067E-2</v>
      </c>
      <c r="M144">
        <f t="shared" si="8"/>
        <v>13</v>
      </c>
    </row>
    <row r="145" spans="1:13" x14ac:dyDescent="0.3">
      <c r="A145" s="9" t="s">
        <v>427</v>
      </c>
      <c r="B145" s="9" t="s">
        <v>428</v>
      </c>
      <c r="C145" s="11" t="s">
        <v>19</v>
      </c>
      <c r="D145" s="2"/>
      <c r="E145" s="2"/>
      <c r="F145" s="2"/>
      <c r="G145" s="2"/>
      <c r="H145" s="2"/>
      <c r="I145" s="7"/>
      <c r="J145" s="4"/>
      <c r="K145" s="12"/>
    </row>
    <row r="146" spans="1:13" x14ac:dyDescent="0.3">
      <c r="A146" s="1"/>
      <c r="B146" s="1"/>
      <c r="C146" s="9" t="s">
        <v>429</v>
      </c>
      <c r="D146" s="9" t="s">
        <v>430</v>
      </c>
      <c r="E146" s="9" t="s">
        <v>430</v>
      </c>
      <c r="F146" s="9" t="s">
        <v>22</v>
      </c>
      <c r="G146" s="11" t="s">
        <v>19</v>
      </c>
      <c r="H146" s="2"/>
      <c r="I146" s="7"/>
      <c r="J146" s="4"/>
      <c r="K146" s="12"/>
    </row>
    <row r="147" spans="1:13" x14ac:dyDescent="0.3">
      <c r="A147" s="1"/>
      <c r="B147" s="1"/>
      <c r="C147" s="1"/>
      <c r="D147" s="1"/>
      <c r="E147" s="1"/>
      <c r="F147" s="1"/>
      <c r="G147" s="9" t="s">
        <v>431</v>
      </c>
      <c r="H147" s="9" t="s">
        <v>119</v>
      </c>
      <c r="I147" s="9" t="s">
        <v>25</v>
      </c>
      <c r="J147" s="3" t="s">
        <v>432</v>
      </c>
      <c r="K147" s="13" t="s">
        <v>433</v>
      </c>
      <c r="L147" s="15">
        <f t="shared" si="7"/>
        <v>1.4259259259259277E-2</v>
      </c>
      <c r="M147">
        <f t="shared" si="8"/>
        <v>5</v>
      </c>
    </row>
    <row r="148" spans="1:13" x14ac:dyDescent="0.3">
      <c r="A148" s="1"/>
      <c r="B148" s="1"/>
      <c r="C148" s="1"/>
      <c r="D148" s="1"/>
      <c r="E148" s="1"/>
      <c r="F148" s="1"/>
      <c r="G148" s="9" t="s">
        <v>434</v>
      </c>
      <c r="H148" s="9" t="s">
        <v>119</v>
      </c>
      <c r="I148" s="9" t="s">
        <v>25</v>
      </c>
      <c r="J148" s="3" t="s">
        <v>435</v>
      </c>
      <c r="K148" s="13" t="s">
        <v>436</v>
      </c>
      <c r="L148" s="15">
        <f t="shared" si="7"/>
        <v>3.5659722222222356E-2</v>
      </c>
      <c r="M148">
        <f t="shared" si="8"/>
        <v>14</v>
      </c>
    </row>
    <row r="149" spans="1:13" x14ac:dyDescent="0.3">
      <c r="A149" s="1"/>
      <c r="B149" s="1"/>
      <c r="C149" s="9" t="s">
        <v>437</v>
      </c>
      <c r="D149" s="9" t="s">
        <v>438</v>
      </c>
      <c r="E149" s="9" t="s">
        <v>439</v>
      </c>
      <c r="F149" s="9" t="s">
        <v>22</v>
      </c>
      <c r="G149" s="11" t="s">
        <v>19</v>
      </c>
      <c r="H149" s="2"/>
      <c r="I149" s="7"/>
      <c r="J149" s="4"/>
      <c r="K149" s="12"/>
    </row>
    <row r="150" spans="1:13" x14ac:dyDescent="0.3">
      <c r="A150" s="1"/>
      <c r="B150" s="1"/>
      <c r="C150" s="1"/>
      <c r="D150" s="1"/>
      <c r="E150" s="1"/>
      <c r="F150" s="1"/>
      <c r="G150" s="9" t="s">
        <v>440</v>
      </c>
      <c r="H150" s="9" t="s">
        <v>119</v>
      </c>
      <c r="I150" s="9" t="s">
        <v>25</v>
      </c>
      <c r="J150" s="3" t="s">
        <v>441</v>
      </c>
      <c r="K150" s="13" t="s">
        <v>442</v>
      </c>
      <c r="L150" s="15">
        <f t="shared" si="7"/>
        <v>1.9259259259259254E-2</v>
      </c>
      <c r="M150">
        <f t="shared" si="8"/>
        <v>6</v>
      </c>
    </row>
    <row r="151" spans="1:13" x14ac:dyDescent="0.3">
      <c r="A151" s="1"/>
      <c r="B151" s="1"/>
      <c r="C151" s="1"/>
      <c r="D151" s="1"/>
      <c r="E151" s="1"/>
      <c r="F151" s="1"/>
      <c r="G151" s="9" t="s">
        <v>443</v>
      </c>
      <c r="H151" s="9" t="s">
        <v>119</v>
      </c>
      <c r="I151" s="9" t="s">
        <v>25</v>
      </c>
      <c r="J151" s="3" t="s">
        <v>444</v>
      </c>
      <c r="K151" s="13" t="s">
        <v>445</v>
      </c>
      <c r="L151" s="15">
        <f t="shared" si="7"/>
        <v>1.6238425925925948E-2</v>
      </c>
      <c r="M151">
        <f t="shared" si="8"/>
        <v>7</v>
      </c>
    </row>
    <row r="152" spans="1:13" x14ac:dyDescent="0.3">
      <c r="A152" s="1"/>
      <c r="B152" s="1"/>
      <c r="C152" s="9" t="s">
        <v>446</v>
      </c>
      <c r="D152" s="9" t="s">
        <v>447</v>
      </c>
      <c r="E152" s="9" t="s">
        <v>448</v>
      </c>
      <c r="F152" s="9" t="s">
        <v>22</v>
      </c>
      <c r="G152" s="9" t="s">
        <v>449</v>
      </c>
      <c r="H152" s="9" t="s">
        <v>119</v>
      </c>
      <c r="I152" s="9" t="s">
        <v>25</v>
      </c>
      <c r="J152" s="3" t="s">
        <v>450</v>
      </c>
      <c r="K152" s="13" t="s">
        <v>451</v>
      </c>
      <c r="L152" s="15">
        <f t="shared" si="7"/>
        <v>1.8645833333333361E-2</v>
      </c>
      <c r="M152">
        <f t="shared" si="8"/>
        <v>5</v>
      </c>
    </row>
    <row r="153" spans="1:13" x14ac:dyDescent="0.3">
      <c r="A153" s="1"/>
      <c r="B153" s="1"/>
      <c r="C153" s="9" t="s">
        <v>452</v>
      </c>
      <c r="D153" s="9" t="s">
        <v>453</v>
      </c>
      <c r="E153" s="9" t="s">
        <v>454</v>
      </c>
      <c r="F153" s="9" t="s">
        <v>22</v>
      </c>
      <c r="G153" s="11" t="s">
        <v>19</v>
      </c>
      <c r="H153" s="2"/>
      <c r="I153" s="7"/>
      <c r="J153" s="4"/>
      <c r="K153" s="12"/>
    </row>
    <row r="154" spans="1:13" x14ac:dyDescent="0.3">
      <c r="A154" s="1"/>
      <c r="B154" s="1"/>
      <c r="C154" s="1"/>
      <c r="D154" s="1"/>
      <c r="E154" s="1"/>
      <c r="F154" s="1"/>
      <c r="G154" s="9" t="s">
        <v>455</v>
      </c>
      <c r="H154" s="9" t="s">
        <v>119</v>
      </c>
      <c r="I154" s="9" t="s">
        <v>25</v>
      </c>
      <c r="J154" s="3" t="s">
        <v>456</v>
      </c>
      <c r="K154" s="13" t="s">
        <v>457</v>
      </c>
      <c r="L154" s="15">
        <f t="shared" si="7"/>
        <v>3.3067129629629655E-2</v>
      </c>
      <c r="M154">
        <f t="shared" si="8"/>
        <v>14</v>
      </c>
    </row>
    <row r="155" spans="1:13" x14ac:dyDescent="0.3">
      <c r="A155" s="1"/>
      <c r="B155" s="1"/>
      <c r="C155" s="1"/>
      <c r="D155" s="1"/>
      <c r="E155" s="1"/>
      <c r="F155" s="1"/>
      <c r="G155" s="9" t="s">
        <v>458</v>
      </c>
      <c r="H155" s="9" t="s">
        <v>119</v>
      </c>
      <c r="I155" s="9" t="s">
        <v>25</v>
      </c>
      <c r="J155" s="3" t="s">
        <v>459</v>
      </c>
      <c r="K155" s="13" t="s">
        <v>460</v>
      </c>
      <c r="L155" s="15">
        <f t="shared" si="7"/>
        <v>4.196759259259264E-2</v>
      </c>
      <c r="M155">
        <f t="shared" si="8"/>
        <v>15</v>
      </c>
    </row>
    <row r="156" spans="1:13" x14ac:dyDescent="0.3">
      <c r="A156" s="1"/>
      <c r="B156" s="1"/>
      <c r="C156" s="1"/>
      <c r="D156" s="1"/>
      <c r="E156" s="1"/>
      <c r="F156" s="1"/>
      <c r="G156" s="9" t="s">
        <v>461</v>
      </c>
      <c r="H156" s="9" t="s">
        <v>119</v>
      </c>
      <c r="I156" s="9" t="s">
        <v>25</v>
      </c>
      <c r="J156" s="3" t="s">
        <v>462</v>
      </c>
      <c r="K156" s="13" t="s">
        <v>463</v>
      </c>
      <c r="L156" s="15">
        <f t="shared" si="7"/>
        <v>1.2777777777777777E-2</v>
      </c>
      <c r="M156">
        <f t="shared" si="8"/>
        <v>17</v>
      </c>
    </row>
    <row r="157" spans="1:13" x14ac:dyDescent="0.3">
      <c r="A157" s="9" t="s">
        <v>464</v>
      </c>
      <c r="B157" s="9" t="s">
        <v>465</v>
      </c>
      <c r="C157" s="11" t="s">
        <v>19</v>
      </c>
      <c r="D157" s="2"/>
      <c r="E157" s="2"/>
      <c r="F157" s="2"/>
      <c r="G157" s="2"/>
      <c r="H157" s="2"/>
      <c r="I157" s="7"/>
      <c r="J157" s="4"/>
      <c r="K157" s="12"/>
    </row>
    <row r="158" spans="1:13" x14ac:dyDescent="0.3">
      <c r="A158" s="1"/>
      <c r="B158" s="1"/>
      <c r="C158" s="9" t="s">
        <v>466</v>
      </c>
      <c r="D158" s="9" t="s">
        <v>467</v>
      </c>
      <c r="E158" s="9" t="s">
        <v>468</v>
      </c>
      <c r="F158" s="9" t="s">
        <v>22</v>
      </c>
      <c r="G158" s="11" t="s">
        <v>19</v>
      </c>
      <c r="H158" s="2"/>
      <c r="I158" s="7"/>
      <c r="J158" s="4"/>
      <c r="K158" s="12"/>
    </row>
    <row r="159" spans="1:13" x14ac:dyDescent="0.3">
      <c r="A159" s="1"/>
      <c r="B159" s="1"/>
      <c r="C159" s="1"/>
      <c r="D159" s="1"/>
      <c r="E159" s="1"/>
      <c r="F159" s="1"/>
      <c r="G159" s="9" t="s">
        <v>469</v>
      </c>
      <c r="H159" s="9" t="s">
        <v>24</v>
      </c>
      <c r="I159" s="9" t="s">
        <v>25</v>
      </c>
      <c r="J159" s="3" t="s">
        <v>470</v>
      </c>
      <c r="K159" s="13" t="s">
        <v>471</v>
      </c>
      <c r="L159" s="15">
        <f t="shared" si="7"/>
        <v>2.8657407407407409E-2</v>
      </c>
      <c r="M159">
        <f t="shared" si="8"/>
        <v>14</v>
      </c>
    </row>
    <row r="160" spans="1:13" x14ac:dyDescent="0.3">
      <c r="A160" s="1"/>
      <c r="B160" s="1"/>
      <c r="C160" s="1"/>
      <c r="D160" s="1"/>
      <c r="E160" s="1"/>
      <c r="F160" s="1"/>
      <c r="G160" s="9" t="s">
        <v>472</v>
      </c>
      <c r="H160" s="9" t="s">
        <v>39</v>
      </c>
      <c r="I160" s="9" t="s">
        <v>25</v>
      </c>
      <c r="J160" s="3" t="s">
        <v>473</v>
      </c>
      <c r="K160" s="13" t="s">
        <v>474</v>
      </c>
      <c r="L160" s="15">
        <f t="shared" si="7"/>
        <v>1.4108796296296244E-2</v>
      </c>
      <c r="M160">
        <f t="shared" si="8"/>
        <v>22</v>
      </c>
    </row>
    <row r="161" spans="1:13" x14ac:dyDescent="0.3">
      <c r="A161" s="1"/>
      <c r="B161" s="1"/>
      <c r="C161" s="9" t="s">
        <v>475</v>
      </c>
      <c r="D161" s="9" t="s">
        <v>476</v>
      </c>
      <c r="E161" s="9" t="s">
        <v>477</v>
      </c>
      <c r="F161" s="9" t="s">
        <v>22</v>
      </c>
      <c r="G161" s="9" t="s">
        <v>478</v>
      </c>
      <c r="H161" s="9" t="s">
        <v>39</v>
      </c>
      <c r="I161" s="9" t="s">
        <v>25</v>
      </c>
      <c r="J161" s="3" t="s">
        <v>479</v>
      </c>
      <c r="K161" s="13" t="s">
        <v>480</v>
      </c>
      <c r="L161" s="15">
        <f t="shared" si="7"/>
        <v>3.2395833333333346E-2</v>
      </c>
      <c r="M161">
        <f t="shared" si="8"/>
        <v>10</v>
      </c>
    </row>
    <row r="162" spans="1:13" x14ac:dyDescent="0.3">
      <c r="A162" s="1"/>
      <c r="B162" s="1"/>
      <c r="C162" s="9" t="s">
        <v>452</v>
      </c>
      <c r="D162" s="9" t="s">
        <v>453</v>
      </c>
      <c r="E162" s="9" t="s">
        <v>454</v>
      </c>
      <c r="F162" s="9" t="s">
        <v>22</v>
      </c>
      <c r="G162" s="9" t="s">
        <v>481</v>
      </c>
      <c r="H162" s="9" t="s">
        <v>39</v>
      </c>
      <c r="I162" s="9" t="s">
        <v>25</v>
      </c>
      <c r="J162" s="6" t="s">
        <v>482</v>
      </c>
      <c r="K162" s="14" t="s">
        <v>483</v>
      </c>
      <c r="L162" s="15">
        <f t="shared" si="7"/>
        <v>2.8668981481481504E-2</v>
      </c>
      <c r="M162">
        <f t="shared" si="8"/>
        <v>9</v>
      </c>
    </row>
    <row r="163" spans="1:13" x14ac:dyDescent="0.3">
      <c r="A163" s="21"/>
      <c r="B163" s="21"/>
      <c r="C163" s="17"/>
      <c r="D163" s="17"/>
      <c r="E163" s="17"/>
      <c r="F163" s="17"/>
      <c r="G163" s="17"/>
      <c r="H163" s="17"/>
      <c r="I163" s="17"/>
      <c r="J163" s="22"/>
      <c r="K163" s="22" t="s">
        <v>484</v>
      </c>
    </row>
    <row r="164" spans="1:13" x14ac:dyDescent="0.3">
      <c r="A164" s="21"/>
      <c r="B164" s="21"/>
      <c r="C164" s="17"/>
      <c r="D164" s="17"/>
      <c r="E164" s="17"/>
      <c r="F164" s="17"/>
      <c r="G164" s="18"/>
      <c r="H164" s="19"/>
      <c r="I164" s="19"/>
      <c r="J164" s="20"/>
      <c r="K164" s="20"/>
    </row>
    <row r="165" spans="1:13" x14ac:dyDescent="0.3">
      <c r="A165" s="21"/>
      <c r="B165" s="21"/>
      <c r="C165" s="21"/>
      <c r="D165" s="21"/>
      <c r="E165" s="21"/>
      <c r="F165" s="21"/>
      <c r="G165" s="17"/>
      <c r="H165" s="17"/>
      <c r="I165" s="17"/>
      <c r="J165" s="22"/>
      <c r="K165" s="22" t="s">
        <v>484</v>
      </c>
    </row>
    <row r="166" spans="1:13" x14ac:dyDescent="0.3">
      <c r="A166" s="21"/>
      <c r="B166" s="21"/>
      <c r="C166" s="21"/>
      <c r="D166" s="21"/>
      <c r="E166" s="21"/>
      <c r="F166" s="21"/>
      <c r="G166" s="17"/>
      <c r="H166" s="17"/>
      <c r="I166" s="17"/>
      <c r="J166" s="22"/>
      <c r="K166" s="22" t="s">
        <v>484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181"/>
  <sheetViews>
    <sheetView topLeftCell="J1" workbookViewId="0">
      <selection activeCell="S2" sqref="S2:S25"/>
    </sheetView>
  </sheetViews>
  <sheetFormatPr defaultRowHeight="14.65" x14ac:dyDescent="0.3"/>
  <cols>
    <col min="11" max="11" width="16" bestFit="1" customWidth="1"/>
    <col min="12" max="12" width="10.33203125" style="15" bestFit="1" customWidth="1"/>
    <col min="13" max="13" width="11.109375" bestFit="1" customWidth="1"/>
    <col min="15" max="15" width="11" bestFit="1" customWidth="1"/>
    <col min="16" max="16" width="28.5546875" bestFit="1" customWidth="1"/>
    <col min="17" max="17" width="41.88671875" bestFit="1" customWidth="1"/>
    <col min="18" max="18" width="48.109375" bestFit="1" customWidth="1"/>
    <col min="19" max="19" width="39" bestFit="1" customWidth="1"/>
  </cols>
  <sheetData>
    <row r="1" spans="1:19" x14ac:dyDescent="0.3">
      <c r="A1" s="8" t="s">
        <v>0</v>
      </c>
      <c r="B1" s="5"/>
      <c r="C1" s="8" t="s">
        <v>1</v>
      </c>
      <c r="D1" s="5"/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  <c r="J1" s="9" t="s">
        <v>7</v>
      </c>
      <c r="K1" s="9" t="s">
        <v>8</v>
      </c>
      <c r="L1" s="15" t="s">
        <v>9</v>
      </c>
      <c r="M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</row>
    <row r="2" spans="1:19" x14ac:dyDescent="0.3">
      <c r="A2" s="10" t="s">
        <v>16</v>
      </c>
      <c r="B2" s="2"/>
      <c r="C2" s="2"/>
      <c r="D2" s="2"/>
      <c r="E2" s="2"/>
      <c r="F2" s="2"/>
      <c r="G2" s="2"/>
      <c r="H2" s="2"/>
      <c r="I2" s="7"/>
      <c r="J2" s="4"/>
      <c r="K2" s="12"/>
      <c r="O2">
        <v>0</v>
      </c>
      <c r="P2">
        <f>COUNTIF(M:M,"0")</f>
        <v>0</v>
      </c>
      <c r="Q2">
        <f>AVERAGE($P$2:$P$25)</f>
        <v>5.708333333333333</v>
      </c>
      <c r="R2" s="15">
        <v>0</v>
      </c>
      <c r="S2" s="15">
        <f>AVERAGEIF($R$2:$R$25, "&lt;&gt; 0")</f>
        <v>1.8765707533710263E-2</v>
      </c>
    </row>
    <row r="3" spans="1:19" x14ac:dyDescent="0.3">
      <c r="A3" s="9" t="s">
        <v>63</v>
      </c>
      <c r="B3" s="9" t="s">
        <v>64</v>
      </c>
      <c r="C3" s="11" t="s">
        <v>19</v>
      </c>
      <c r="D3" s="2">
        <v>2400</v>
      </c>
      <c r="E3" s="2"/>
      <c r="F3" s="2"/>
      <c r="G3" s="2"/>
      <c r="H3" s="2"/>
      <c r="I3" s="7"/>
      <c r="J3" s="4"/>
      <c r="K3" s="12"/>
      <c r="O3">
        <v>1</v>
      </c>
      <c r="P3">
        <f>COUNTIF(M:M,"1")</f>
        <v>2</v>
      </c>
      <c r="Q3">
        <f t="shared" ref="Q3:Q25" si="0">AVERAGE($P$2:$P$25)</f>
        <v>5.708333333333333</v>
      </c>
      <c r="R3" s="15">
        <f t="shared" ref="R3:R25" si="1">AVERAGEIF(M:M,O3,L:L)</f>
        <v>2.0075231481481475E-2</v>
      </c>
      <c r="S3" s="15">
        <f t="shared" ref="S3:S25" si="2">AVERAGEIF($R$2:$R$25, "&lt;&gt; 0")</f>
        <v>1.8765707533710263E-2</v>
      </c>
    </row>
    <row r="4" spans="1:19" x14ac:dyDescent="0.3">
      <c r="A4" s="1"/>
      <c r="B4" s="1"/>
      <c r="C4" s="9" t="s">
        <v>65</v>
      </c>
      <c r="D4" s="9" t="s">
        <v>66</v>
      </c>
      <c r="E4" s="9" t="s">
        <v>66</v>
      </c>
      <c r="F4" s="9" t="s">
        <v>22</v>
      </c>
      <c r="G4" s="9" t="s">
        <v>485</v>
      </c>
      <c r="H4" s="9" t="s">
        <v>39</v>
      </c>
      <c r="I4" s="9" t="s">
        <v>486</v>
      </c>
      <c r="J4" s="3" t="s">
        <v>487</v>
      </c>
      <c r="K4" s="16" t="s">
        <v>488</v>
      </c>
      <c r="L4" s="15">
        <f t="shared" ref="L4:L66" si="3">K4-J4</f>
        <v>-0.5390625</v>
      </c>
      <c r="M4">
        <f t="shared" ref="M4:M66" si="4">HOUR(J4)</f>
        <v>13</v>
      </c>
      <c r="O4">
        <v>2</v>
      </c>
      <c r="P4">
        <f>COUNTIF(M:M,"2")</f>
        <v>1</v>
      </c>
      <c r="Q4">
        <f t="shared" si="0"/>
        <v>5.708333333333333</v>
      </c>
      <c r="R4" s="15">
        <f t="shared" si="1"/>
        <v>1.4826388888888889E-2</v>
      </c>
      <c r="S4" s="15">
        <f t="shared" si="2"/>
        <v>1.8765707533710263E-2</v>
      </c>
    </row>
    <row r="5" spans="1:19" x14ac:dyDescent="0.3">
      <c r="A5" s="1"/>
      <c r="B5" s="1"/>
      <c r="C5" s="9" t="s">
        <v>20</v>
      </c>
      <c r="D5" s="9" t="s">
        <v>21</v>
      </c>
      <c r="E5" s="9" t="s">
        <v>21</v>
      </c>
      <c r="F5" s="9" t="s">
        <v>22</v>
      </c>
      <c r="G5" s="11" t="s">
        <v>19</v>
      </c>
      <c r="H5" s="2"/>
      <c r="I5" s="7"/>
      <c r="J5" s="4"/>
      <c r="K5" s="12"/>
      <c r="O5">
        <v>3</v>
      </c>
      <c r="P5">
        <f>COUNTIF(M:M,"3")</f>
        <v>1</v>
      </c>
      <c r="Q5">
        <f t="shared" si="0"/>
        <v>5.708333333333333</v>
      </c>
      <c r="R5" s="15">
        <f t="shared" si="1"/>
        <v>1.7627314814814804E-2</v>
      </c>
      <c r="S5" s="15">
        <f t="shared" si="2"/>
        <v>1.8765707533710263E-2</v>
      </c>
    </row>
    <row r="6" spans="1:19" x14ac:dyDescent="0.3">
      <c r="A6" s="1"/>
      <c r="B6" s="1"/>
      <c r="C6" s="1"/>
      <c r="D6" s="1"/>
      <c r="E6" s="1"/>
      <c r="F6" s="1"/>
      <c r="G6" s="9" t="s">
        <v>489</v>
      </c>
      <c r="H6" s="9" t="s">
        <v>24</v>
      </c>
      <c r="I6" s="9" t="s">
        <v>486</v>
      </c>
      <c r="J6" s="3" t="s">
        <v>490</v>
      </c>
      <c r="K6" s="13" t="s">
        <v>491</v>
      </c>
      <c r="L6" s="15">
        <f t="shared" si="3"/>
        <v>1.9166666666666665E-2</v>
      </c>
      <c r="M6">
        <f t="shared" si="4"/>
        <v>5</v>
      </c>
      <c r="O6">
        <v>4</v>
      </c>
      <c r="P6">
        <f>COUNTIF(M:M,"4")</f>
        <v>5</v>
      </c>
      <c r="Q6">
        <f t="shared" si="0"/>
        <v>5.708333333333333</v>
      </c>
      <c r="R6" s="15">
        <f t="shared" si="1"/>
        <v>1.5282407407407406E-2</v>
      </c>
      <c r="S6" s="15">
        <f t="shared" si="2"/>
        <v>1.8765707533710263E-2</v>
      </c>
    </row>
    <row r="7" spans="1:19" x14ac:dyDescent="0.3">
      <c r="A7" s="1"/>
      <c r="B7" s="1"/>
      <c r="C7" s="1"/>
      <c r="D7" s="1"/>
      <c r="E7" s="1"/>
      <c r="F7" s="1"/>
      <c r="G7" s="9" t="s">
        <v>492</v>
      </c>
      <c r="H7" s="9" t="s">
        <v>24</v>
      </c>
      <c r="I7" s="9" t="s">
        <v>486</v>
      </c>
      <c r="J7" s="3" t="s">
        <v>493</v>
      </c>
      <c r="K7" s="13" t="s">
        <v>494</v>
      </c>
      <c r="L7" s="15">
        <f t="shared" si="3"/>
        <v>3.5925925925925917E-2</v>
      </c>
      <c r="M7">
        <f t="shared" si="4"/>
        <v>9</v>
      </c>
      <c r="O7">
        <v>5</v>
      </c>
      <c r="P7">
        <f>COUNTIF(M:M,"5")</f>
        <v>6</v>
      </c>
      <c r="Q7">
        <f t="shared" si="0"/>
        <v>5.708333333333333</v>
      </c>
      <c r="R7" s="15">
        <f t="shared" si="1"/>
        <v>2.0482253086419749E-2</v>
      </c>
      <c r="S7" s="15">
        <f t="shared" si="2"/>
        <v>1.8765707533710263E-2</v>
      </c>
    </row>
    <row r="8" spans="1:19" x14ac:dyDescent="0.3">
      <c r="A8" s="1"/>
      <c r="B8" s="1"/>
      <c r="C8" s="1"/>
      <c r="D8" s="1"/>
      <c r="E8" s="1"/>
      <c r="F8" s="1"/>
      <c r="G8" s="9" t="s">
        <v>495</v>
      </c>
      <c r="H8" s="9" t="s">
        <v>24</v>
      </c>
      <c r="I8" s="9" t="s">
        <v>486</v>
      </c>
      <c r="J8" s="3" t="s">
        <v>496</v>
      </c>
      <c r="K8" s="13" t="s">
        <v>497</v>
      </c>
      <c r="L8" s="15">
        <f t="shared" si="3"/>
        <v>2.1574074074074023E-2</v>
      </c>
      <c r="M8">
        <f t="shared" si="4"/>
        <v>11</v>
      </c>
      <c r="O8">
        <v>6</v>
      </c>
      <c r="P8">
        <f>COUNTIF(M:M,"6")</f>
        <v>5</v>
      </c>
      <c r="Q8">
        <f t="shared" si="0"/>
        <v>5.708333333333333</v>
      </c>
      <c r="R8" s="15">
        <f t="shared" si="1"/>
        <v>2.9916666666666647E-2</v>
      </c>
      <c r="S8" s="15">
        <f t="shared" si="2"/>
        <v>1.8765707533710263E-2</v>
      </c>
    </row>
    <row r="9" spans="1:19" x14ac:dyDescent="0.3">
      <c r="A9" s="1"/>
      <c r="B9" s="1"/>
      <c r="C9" s="9" t="s">
        <v>93</v>
      </c>
      <c r="D9" s="9" t="s">
        <v>94</v>
      </c>
      <c r="E9" s="9" t="s">
        <v>94</v>
      </c>
      <c r="F9" s="9" t="s">
        <v>22</v>
      </c>
      <c r="G9" s="9" t="s">
        <v>498</v>
      </c>
      <c r="H9" s="9" t="s">
        <v>39</v>
      </c>
      <c r="I9" s="9" t="s">
        <v>486</v>
      </c>
      <c r="J9" s="3" t="s">
        <v>499</v>
      </c>
      <c r="K9" s="13" t="s">
        <v>500</v>
      </c>
      <c r="L9" s="15">
        <f t="shared" si="3"/>
        <v>1.6122685185185226E-2</v>
      </c>
      <c r="M9">
        <f t="shared" si="4"/>
        <v>8</v>
      </c>
      <c r="O9">
        <v>7</v>
      </c>
      <c r="P9">
        <f>COUNTIF(M:M,"7")</f>
        <v>8</v>
      </c>
      <c r="Q9">
        <f t="shared" si="0"/>
        <v>5.708333333333333</v>
      </c>
      <c r="R9" s="15">
        <f t="shared" si="1"/>
        <v>1.9690393518518513E-2</v>
      </c>
      <c r="S9" s="15">
        <f t="shared" si="2"/>
        <v>1.8765707533710263E-2</v>
      </c>
    </row>
    <row r="10" spans="1:19" x14ac:dyDescent="0.3">
      <c r="A10" s="1"/>
      <c r="B10" s="1"/>
      <c r="C10" s="9" t="s">
        <v>47</v>
      </c>
      <c r="D10" s="9" t="s">
        <v>48</v>
      </c>
      <c r="E10" s="9" t="s">
        <v>190</v>
      </c>
      <c r="F10" s="9" t="s">
        <v>22</v>
      </c>
      <c r="G10" s="11" t="s">
        <v>19</v>
      </c>
      <c r="H10" s="2"/>
      <c r="I10" s="7"/>
      <c r="J10" s="4"/>
      <c r="K10" s="12"/>
      <c r="O10">
        <v>8</v>
      </c>
      <c r="P10">
        <f>COUNTIF(M:M,"8")</f>
        <v>14</v>
      </c>
      <c r="Q10">
        <f t="shared" si="0"/>
        <v>5.708333333333333</v>
      </c>
      <c r="R10" s="15">
        <f t="shared" si="1"/>
        <v>2.4231150793650787E-2</v>
      </c>
      <c r="S10" s="15">
        <f t="shared" si="2"/>
        <v>1.8765707533710263E-2</v>
      </c>
    </row>
    <row r="11" spans="1:19" x14ac:dyDescent="0.3">
      <c r="A11" s="1"/>
      <c r="B11" s="1"/>
      <c r="C11" s="1"/>
      <c r="D11" s="1"/>
      <c r="E11" s="1"/>
      <c r="F11" s="1"/>
      <c r="G11" s="9" t="s">
        <v>501</v>
      </c>
      <c r="H11" s="9" t="s">
        <v>39</v>
      </c>
      <c r="I11" s="9" t="s">
        <v>486</v>
      </c>
      <c r="J11" s="3" t="s">
        <v>502</v>
      </c>
      <c r="K11" s="13" t="s">
        <v>503</v>
      </c>
      <c r="L11" s="15">
        <f t="shared" si="3"/>
        <v>2.1226851851851913E-2</v>
      </c>
      <c r="M11">
        <f t="shared" si="4"/>
        <v>9</v>
      </c>
      <c r="O11">
        <v>9</v>
      </c>
      <c r="P11">
        <f>COUNTIF(M:M,"9")</f>
        <v>13</v>
      </c>
      <c r="Q11">
        <f t="shared" si="0"/>
        <v>5.708333333333333</v>
      </c>
      <c r="R11" s="15">
        <f t="shared" si="1"/>
        <v>1.9287749287749303E-2</v>
      </c>
      <c r="S11" s="15">
        <f t="shared" si="2"/>
        <v>1.8765707533710263E-2</v>
      </c>
    </row>
    <row r="12" spans="1:19" x14ac:dyDescent="0.3">
      <c r="A12" s="1"/>
      <c r="B12" s="1"/>
      <c r="C12" s="1"/>
      <c r="D12" s="1"/>
      <c r="E12" s="1"/>
      <c r="F12" s="1"/>
      <c r="G12" s="9" t="s">
        <v>504</v>
      </c>
      <c r="H12" s="9" t="s">
        <v>39</v>
      </c>
      <c r="I12" s="9" t="s">
        <v>486</v>
      </c>
      <c r="J12" s="3" t="s">
        <v>505</v>
      </c>
      <c r="K12" s="13" t="s">
        <v>506</v>
      </c>
      <c r="L12" s="15">
        <f t="shared" si="3"/>
        <v>3.1400462962962949E-2</v>
      </c>
      <c r="M12">
        <f t="shared" si="4"/>
        <v>9</v>
      </c>
      <c r="O12">
        <v>10</v>
      </c>
      <c r="P12">
        <f>COUNTIF(M:M,"10")</f>
        <v>15</v>
      </c>
      <c r="Q12">
        <f t="shared" si="0"/>
        <v>5.708333333333333</v>
      </c>
      <c r="R12" s="15">
        <f t="shared" si="1"/>
        <v>3.6235339506172824E-2</v>
      </c>
      <c r="S12" s="15">
        <f t="shared" si="2"/>
        <v>1.8765707533710263E-2</v>
      </c>
    </row>
    <row r="13" spans="1:19" x14ac:dyDescent="0.3">
      <c r="A13" s="1"/>
      <c r="B13" s="1"/>
      <c r="C13" s="1"/>
      <c r="D13" s="1"/>
      <c r="E13" s="1"/>
      <c r="F13" s="1"/>
      <c r="G13" s="9" t="s">
        <v>507</v>
      </c>
      <c r="H13" s="9" t="s">
        <v>39</v>
      </c>
      <c r="I13" s="9" t="s">
        <v>486</v>
      </c>
      <c r="J13" s="3" t="s">
        <v>508</v>
      </c>
      <c r="K13" s="13" t="s">
        <v>509</v>
      </c>
      <c r="L13" s="15">
        <f t="shared" si="3"/>
        <v>4.5902777777777737E-2</v>
      </c>
      <c r="M13">
        <f t="shared" si="4"/>
        <v>15</v>
      </c>
      <c r="O13">
        <v>11</v>
      </c>
      <c r="P13">
        <f>COUNTIF(M:M,"11")</f>
        <v>5</v>
      </c>
      <c r="Q13">
        <f t="shared" si="0"/>
        <v>5.708333333333333</v>
      </c>
      <c r="R13" s="15">
        <f t="shared" si="1"/>
        <v>3.0374999999999965E-2</v>
      </c>
      <c r="S13" s="15">
        <f t="shared" si="2"/>
        <v>1.8765707533710263E-2</v>
      </c>
    </row>
    <row r="14" spans="1:19" x14ac:dyDescent="0.3">
      <c r="A14" s="1"/>
      <c r="B14" s="1"/>
      <c r="C14" s="1"/>
      <c r="D14" s="1"/>
      <c r="E14" s="1"/>
      <c r="F14" s="1"/>
      <c r="G14" s="9" t="s">
        <v>510</v>
      </c>
      <c r="H14" s="9" t="s">
        <v>39</v>
      </c>
      <c r="I14" s="9" t="s">
        <v>486</v>
      </c>
      <c r="J14" s="3" t="s">
        <v>511</v>
      </c>
      <c r="K14" s="13" t="s">
        <v>512</v>
      </c>
      <c r="L14" s="15">
        <f t="shared" si="3"/>
        <v>5.1747685185185244E-2</v>
      </c>
      <c r="M14">
        <f t="shared" si="4"/>
        <v>16</v>
      </c>
      <c r="O14">
        <v>12</v>
      </c>
      <c r="P14">
        <f>COUNTIF(M:M,"12")</f>
        <v>13</v>
      </c>
      <c r="Q14">
        <f t="shared" si="0"/>
        <v>5.708333333333333</v>
      </c>
      <c r="R14" s="15">
        <f t="shared" si="1"/>
        <v>2.8569266381766361E-2</v>
      </c>
      <c r="S14" s="15">
        <f t="shared" si="2"/>
        <v>1.8765707533710263E-2</v>
      </c>
    </row>
    <row r="15" spans="1:19" x14ac:dyDescent="0.3">
      <c r="A15" s="1"/>
      <c r="B15" s="1"/>
      <c r="C15" s="9" t="s">
        <v>513</v>
      </c>
      <c r="D15" s="9" t="s">
        <v>514</v>
      </c>
      <c r="E15" s="9" t="s">
        <v>514</v>
      </c>
      <c r="F15" s="9" t="s">
        <v>22</v>
      </c>
      <c r="G15" s="11" t="s">
        <v>19</v>
      </c>
      <c r="H15" s="2"/>
      <c r="I15" s="7"/>
      <c r="J15" s="4"/>
      <c r="K15" s="12"/>
      <c r="O15">
        <v>13</v>
      </c>
      <c r="P15">
        <f>COUNTIF(M:M,"13")</f>
        <v>8</v>
      </c>
      <c r="Q15">
        <f t="shared" si="0"/>
        <v>5.708333333333333</v>
      </c>
      <c r="R15" s="15">
        <f t="shared" si="1"/>
        <v>-4.5557002314814826E-2</v>
      </c>
      <c r="S15" s="15">
        <f t="shared" si="2"/>
        <v>1.8765707533710263E-2</v>
      </c>
    </row>
    <row r="16" spans="1:19" x14ac:dyDescent="0.3">
      <c r="A16" s="1"/>
      <c r="B16" s="1"/>
      <c r="C16" s="1"/>
      <c r="D16" s="1"/>
      <c r="E16" s="1"/>
      <c r="F16" s="1"/>
      <c r="G16" s="9" t="s">
        <v>515</v>
      </c>
      <c r="H16" s="9" t="s">
        <v>24</v>
      </c>
      <c r="I16" s="9" t="s">
        <v>486</v>
      </c>
      <c r="J16" s="3" t="s">
        <v>516</v>
      </c>
      <c r="K16" s="13" t="s">
        <v>517</v>
      </c>
      <c r="L16" s="15">
        <f t="shared" si="3"/>
        <v>1.664351851851853E-2</v>
      </c>
      <c r="M16">
        <f t="shared" si="4"/>
        <v>9</v>
      </c>
      <c r="O16">
        <v>14</v>
      </c>
      <c r="P16">
        <f>COUNTIF(M:M,"14")</f>
        <v>7</v>
      </c>
      <c r="Q16">
        <f t="shared" si="0"/>
        <v>5.708333333333333</v>
      </c>
      <c r="R16" s="15">
        <f t="shared" si="1"/>
        <v>3.0775462962962945E-2</v>
      </c>
      <c r="S16" s="15">
        <f t="shared" si="2"/>
        <v>1.8765707533710263E-2</v>
      </c>
    </row>
    <row r="17" spans="1:19" x14ac:dyDescent="0.3">
      <c r="A17" s="1"/>
      <c r="B17" s="1"/>
      <c r="C17" s="1"/>
      <c r="D17" s="1"/>
      <c r="E17" s="1"/>
      <c r="F17" s="1"/>
      <c r="G17" s="9" t="s">
        <v>518</v>
      </c>
      <c r="H17" s="9" t="s">
        <v>24</v>
      </c>
      <c r="I17" s="9" t="s">
        <v>486</v>
      </c>
      <c r="J17" s="3" t="s">
        <v>519</v>
      </c>
      <c r="K17" s="13" t="s">
        <v>520</v>
      </c>
      <c r="L17" s="15">
        <f t="shared" si="3"/>
        <v>4.4560185185185175E-2</v>
      </c>
      <c r="M17">
        <f t="shared" si="4"/>
        <v>10</v>
      </c>
      <c r="O17">
        <v>15</v>
      </c>
      <c r="P17">
        <f>COUNTIF(M:M,"15")</f>
        <v>7</v>
      </c>
      <c r="Q17">
        <f t="shared" si="0"/>
        <v>5.708333333333333</v>
      </c>
      <c r="R17" s="15">
        <f t="shared" si="1"/>
        <v>2.2819113756613767E-2</v>
      </c>
      <c r="S17" s="15">
        <f t="shared" si="2"/>
        <v>1.8765707533710263E-2</v>
      </c>
    </row>
    <row r="18" spans="1:19" x14ac:dyDescent="0.3">
      <c r="A18" s="1"/>
      <c r="B18" s="1"/>
      <c r="C18" s="1"/>
      <c r="D18" s="1"/>
      <c r="E18" s="1"/>
      <c r="F18" s="1"/>
      <c r="G18" s="9" t="s">
        <v>521</v>
      </c>
      <c r="H18" s="9" t="s">
        <v>24</v>
      </c>
      <c r="I18" s="9" t="s">
        <v>486</v>
      </c>
      <c r="J18" s="3" t="s">
        <v>522</v>
      </c>
      <c r="K18" s="13" t="s">
        <v>523</v>
      </c>
      <c r="L18" s="15">
        <f t="shared" si="3"/>
        <v>1.9791666666666652E-2</v>
      </c>
      <c r="M18">
        <f t="shared" si="4"/>
        <v>14</v>
      </c>
      <c r="O18">
        <v>16</v>
      </c>
      <c r="P18">
        <f>COUNTIF(M:M,"16")</f>
        <v>6</v>
      </c>
      <c r="Q18">
        <f t="shared" si="0"/>
        <v>5.708333333333333</v>
      </c>
      <c r="R18" s="15">
        <f t="shared" si="1"/>
        <v>3.2100694444444446E-2</v>
      </c>
      <c r="S18" s="15">
        <f t="shared" si="2"/>
        <v>1.8765707533710263E-2</v>
      </c>
    </row>
    <row r="19" spans="1:19" x14ac:dyDescent="0.3">
      <c r="A19" s="1"/>
      <c r="B19" s="1"/>
      <c r="C19" s="9" t="s">
        <v>109</v>
      </c>
      <c r="D19" s="9" t="s">
        <v>110</v>
      </c>
      <c r="E19" s="9" t="s">
        <v>110</v>
      </c>
      <c r="F19" s="9" t="s">
        <v>22</v>
      </c>
      <c r="G19" s="11" t="s">
        <v>19</v>
      </c>
      <c r="H19" s="2"/>
      <c r="I19" s="7"/>
      <c r="J19" s="4"/>
      <c r="K19" s="12"/>
      <c r="O19">
        <v>17</v>
      </c>
      <c r="P19">
        <f>COUNTIF(M:M,"17")</f>
        <v>5</v>
      </c>
      <c r="Q19">
        <f t="shared" si="0"/>
        <v>5.708333333333333</v>
      </c>
      <c r="R19" s="15">
        <f t="shared" si="1"/>
        <v>2.0296296296296347E-2</v>
      </c>
      <c r="S19" s="15">
        <f t="shared" si="2"/>
        <v>1.8765707533710263E-2</v>
      </c>
    </row>
    <row r="20" spans="1:19" x14ac:dyDescent="0.3">
      <c r="A20" s="1"/>
      <c r="B20" s="1"/>
      <c r="C20" s="1"/>
      <c r="D20" s="1"/>
      <c r="E20" s="1"/>
      <c r="F20" s="1"/>
      <c r="G20" s="9" t="s">
        <v>524</v>
      </c>
      <c r="H20" s="9" t="s">
        <v>39</v>
      </c>
      <c r="I20" s="9" t="s">
        <v>486</v>
      </c>
      <c r="J20" s="3" t="s">
        <v>525</v>
      </c>
      <c r="K20" s="13" t="s">
        <v>526</v>
      </c>
      <c r="L20" s="15">
        <f t="shared" si="3"/>
        <v>2.1747685185185217E-2</v>
      </c>
      <c r="M20">
        <f t="shared" si="4"/>
        <v>8</v>
      </c>
      <c r="O20">
        <v>18</v>
      </c>
      <c r="P20">
        <f>COUNTIF(M:M,"18")</f>
        <v>3</v>
      </c>
      <c r="Q20">
        <f t="shared" si="0"/>
        <v>5.708333333333333</v>
      </c>
      <c r="R20" s="15">
        <f t="shared" si="1"/>
        <v>1.3441358024691374E-2</v>
      </c>
      <c r="S20" s="15">
        <f t="shared" si="2"/>
        <v>1.8765707533710263E-2</v>
      </c>
    </row>
    <row r="21" spans="1:19" x14ac:dyDescent="0.3">
      <c r="A21" s="1"/>
      <c r="B21" s="1"/>
      <c r="C21" s="1"/>
      <c r="D21" s="1"/>
      <c r="E21" s="1"/>
      <c r="F21" s="1"/>
      <c r="G21" s="9" t="s">
        <v>527</v>
      </c>
      <c r="H21" s="9" t="s">
        <v>39</v>
      </c>
      <c r="I21" s="9" t="s">
        <v>486</v>
      </c>
      <c r="J21" s="3" t="s">
        <v>528</v>
      </c>
      <c r="K21" s="13" t="s">
        <v>529</v>
      </c>
      <c r="L21" s="15">
        <f t="shared" si="3"/>
        <v>2.1898148148148111E-2</v>
      </c>
      <c r="M21">
        <f t="shared" si="4"/>
        <v>8</v>
      </c>
      <c r="O21">
        <v>19</v>
      </c>
      <c r="P21">
        <f>COUNTIF(M:M,"19")</f>
        <v>1</v>
      </c>
      <c r="Q21">
        <f t="shared" si="0"/>
        <v>5.708333333333333</v>
      </c>
      <c r="R21" s="15">
        <f t="shared" si="1"/>
        <v>1.5335648148148251E-2</v>
      </c>
      <c r="S21" s="15">
        <f t="shared" si="2"/>
        <v>1.8765707533710263E-2</v>
      </c>
    </row>
    <row r="22" spans="1:19" x14ac:dyDescent="0.3">
      <c r="A22" s="1"/>
      <c r="B22" s="1"/>
      <c r="C22" s="9" t="s">
        <v>530</v>
      </c>
      <c r="D22" s="9" t="s">
        <v>531</v>
      </c>
      <c r="E22" s="9" t="s">
        <v>531</v>
      </c>
      <c r="F22" s="9" t="s">
        <v>22</v>
      </c>
      <c r="G22" s="9" t="s">
        <v>532</v>
      </c>
      <c r="H22" s="9" t="s">
        <v>39</v>
      </c>
      <c r="I22" s="9" t="s">
        <v>486</v>
      </c>
      <c r="J22" s="3" t="s">
        <v>533</v>
      </c>
      <c r="K22" s="13" t="s">
        <v>534</v>
      </c>
      <c r="L22" s="15">
        <f t="shared" si="3"/>
        <v>2.82175925925926E-2</v>
      </c>
      <c r="M22">
        <f t="shared" si="4"/>
        <v>8</v>
      </c>
      <c r="O22">
        <v>20</v>
      </c>
      <c r="P22">
        <f>COUNTIF(M:M,"20")</f>
        <v>6</v>
      </c>
      <c r="Q22">
        <f t="shared" si="0"/>
        <v>5.708333333333333</v>
      </c>
      <c r="R22" s="15">
        <f t="shared" si="1"/>
        <v>1.6454475308642007E-2</v>
      </c>
      <c r="S22" s="15">
        <f t="shared" si="2"/>
        <v>1.8765707533710263E-2</v>
      </c>
    </row>
    <row r="23" spans="1:19" x14ac:dyDescent="0.3">
      <c r="A23" s="9" t="s">
        <v>114</v>
      </c>
      <c r="B23" s="9" t="s">
        <v>115</v>
      </c>
      <c r="C23" s="11" t="s">
        <v>19</v>
      </c>
      <c r="D23" s="2">
        <v>2400</v>
      </c>
      <c r="E23" s="2"/>
      <c r="F23" s="2"/>
      <c r="G23" s="2"/>
      <c r="H23" s="2"/>
      <c r="I23" s="7"/>
      <c r="J23" s="4"/>
      <c r="K23" s="12"/>
      <c r="O23">
        <v>21</v>
      </c>
      <c r="P23">
        <f>COUNTIF(M:M,"21")</f>
        <v>1</v>
      </c>
      <c r="Q23">
        <f t="shared" si="0"/>
        <v>5.708333333333333</v>
      </c>
      <c r="R23" s="15">
        <f t="shared" si="1"/>
        <v>1.5972222222222276E-2</v>
      </c>
      <c r="S23" s="15">
        <f t="shared" si="2"/>
        <v>1.8765707533710263E-2</v>
      </c>
    </row>
    <row r="24" spans="1:19" x14ac:dyDescent="0.3">
      <c r="A24" s="1"/>
      <c r="B24" s="1"/>
      <c r="C24" s="9" t="s">
        <v>116</v>
      </c>
      <c r="D24" s="9" t="s">
        <v>117</v>
      </c>
      <c r="E24" s="11" t="s">
        <v>19</v>
      </c>
      <c r="F24" s="2"/>
      <c r="G24" s="2"/>
      <c r="H24" s="2"/>
      <c r="I24" s="7"/>
      <c r="J24" s="4"/>
      <c r="K24" s="12"/>
      <c r="O24">
        <v>22</v>
      </c>
      <c r="P24">
        <f>COUNTIF(M:M,"22")</f>
        <v>2</v>
      </c>
      <c r="Q24">
        <f t="shared" si="0"/>
        <v>5.708333333333333</v>
      </c>
      <c r="R24" s="15">
        <f t="shared" si="1"/>
        <v>1.888310185185188E-2</v>
      </c>
      <c r="S24" s="15">
        <f t="shared" si="2"/>
        <v>1.8765707533710263E-2</v>
      </c>
    </row>
    <row r="25" spans="1:19" x14ac:dyDescent="0.3">
      <c r="A25" s="1"/>
      <c r="B25" s="1"/>
      <c r="C25" s="1"/>
      <c r="D25" s="1"/>
      <c r="E25" s="9" t="s">
        <v>117</v>
      </c>
      <c r="F25" s="9" t="s">
        <v>22</v>
      </c>
      <c r="G25" s="11" t="s">
        <v>19</v>
      </c>
      <c r="H25" s="2"/>
      <c r="I25" s="7"/>
      <c r="J25" s="4"/>
      <c r="K25" s="12"/>
      <c r="O25">
        <v>23</v>
      </c>
      <c r="P25">
        <f>COUNTIF(M:M,"23")</f>
        <v>3</v>
      </c>
      <c r="Q25">
        <f t="shared" si="0"/>
        <v>5.708333333333333</v>
      </c>
      <c r="R25" s="15">
        <f t="shared" si="1"/>
        <v>1.4490740740740748E-2</v>
      </c>
      <c r="S25" s="15">
        <f t="shared" si="2"/>
        <v>1.8765707533710263E-2</v>
      </c>
    </row>
    <row r="26" spans="1:19" x14ac:dyDescent="0.3">
      <c r="A26" s="1"/>
      <c r="B26" s="1"/>
      <c r="C26" s="1"/>
      <c r="D26" s="1"/>
      <c r="E26" s="1"/>
      <c r="F26" s="1"/>
      <c r="G26" s="9" t="s">
        <v>535</v>
      </c>
      <c r="H26" s="9" t="s">
        <v>119</v>
      </c>
      <c r="I26" s="9" t="s">
        <v>486</v>
      </c>
      <c r="J26" s="3" t="s">
        <v>536</v>
      </c>
      <c r="K26" s="13" t="s">
        <v>537</v>
      </c>
      <c r="L26" s="15">
        <f t="shared" si="3"/>
        <v>2.5520833333333319E-2</v>
      </c>
      <c r="M26">
        <f t="shared" si="4"/>
        <v>1</v>
      </c>
    </row>
    <row r="27" spans="1:19" x14ac:dyDescent="0.3">
      <c r="A27" s="1"/>
      <c r="B27" s="1"/>
      <c r="C27" s="1"/>
      <c r="D27" s="1"/>
      <c r="E27" s="1"/>
      <c r="F27" s="1"/>
      <c r="G27" s="9" t="s">
        <v>538</v>
      </c>
      <c r="H27" s="9" t="s">
        <v>119</v>
      </c>
      <c r="I27" s="9" t="s">
        <v>486</v>
      </c>
      <c r="J27" s="3" t="s">
        <v>539</v>
      </c>
      <c r="K27" s="13" t="s">
        <v>540</v>
      </c>
      <c r="L27" s="15">
        <f t="shared" si="3"/>
        <v>1.9548611111111058E-2</v>
      </c>
      <c r="M27">
        <f t="shared" si="4"/>
        <v>8</v>
      </c>
    </row>
    <row r="28" spans="1:19" x14ac:dyDescent="0.3">
      <c r="A28" s="1"/>
      <c r="B28" s="1"/>
      <c r="C28" s="1"/>
      <c r="D28" s="1"/>
      <c r="E28" s="1"/>
      <c r="F28" s="1"/>
      <c r="G28" s="9" t="s">
        <v>541</v>
      </c>
      <c r="H28" s="9" t="s">
        <v>119</v>
      </c>
      <c r="I28" s="9" t="s">
        <v>486</v>
      </c>
      <c r="J28" s="3" t="s">
        <v>542</v>
      </c>
      <c r="K28" s="13" t="s">
        <v>543</v>
      </c>
      <c r="L28" s="15">
        <f t="shared" si="3"/>
        <v>1.2604166666666639E-2</v>
      </c>
      <c r="M28">
        <f t="shared" si="4"/>
        <v>23</v>
      </c>
    </row>
    <row r="29" spans="1:19" x14ac:dyDescent="0.3">
      <c r="A29" s="1"/>
      <c r="B29" s="1"/>
      <c r="C29" s="1"/>
      <c r="D29" s="1"/>
      <c r="E29" s="1"/>
      <c r="F29" s="1"/>
      <c r="G29" s="9" t="s">
        <v>544</v>
      </c>
      <c r="H29" s="9" t="s">
        <v>119</v>
      </c>
      <c r="I29" s="9" t="s">
        <v>486</v>
      </c>
      <c r="J29" s="3" t="s">
        <v>545</v>
      </c>
      <c r="K29" s="13" t="s">
        <v>546</v>
      </c>
      <c r="L29" s="15">
        <f t="shared" si="3"/>
        <v>2.7326388888888831E-2</v>
      </c>
      <c r="M29">
        <f t="shared" si="4"/>
        <v>16</v>
      </c>
    </row>
    <row r="30" spans="1:19" x14ac:dyDescent="0.3">
      <c r="A30" s="1"/>
      <c r="B30" s="1"/>
      <c r="C30" s="1"/>
      <c r="D30" s="1"/>
      <c r="E30" s="1"/>
      <c r="F30" s="1"/>
      <c r="G30" s="9" t="s">
        <v>547</v>
      </c>
      <c r="H30" s="9" t="s">
        <v>119</v>
      </c>
      <c r="I30" s="9" t="s">
        <v>486</v>
      </c>
      <c r="J30" s="3" t="s">
        <v>548</v>
      </c>
      <c r="K30" s="13" t="s">
        <v>549</v>
      </c>
      <c r="L30" s="15">
        <f t="shared" si="3"/>
        <v>1.6851851851851896E-2</v>
      </c>
      <c r="M30">
        <f t="shared" si="4"/>
        <v>20</v>
      </c>
    </row>
    <row r="31" spans="1:19" x14ac:dyDescent="0.3">
      <c r="A31" s="1"/>
      <c r="B31" s="1"/>
      <c r="C31" s="1"/>
      <c r="D31" s="1"/>
      <c r="E31" s="9" t="s">
        <v>125</v>
      </c>
      <c r="F31" s="9" t="s">
        <v>22</v>
      </c>
      <c r="G31" s="11" t="s">
        <v>19</v>
      </c>
      <c r="H31" s="2"/>
      <c r="I31" s="7"/>
      <c r="J31" s="4"/>
      <c r="K31" s="12"/>
    </row>
    <row r="32" spans="1:19" x14ac:dyDescent="0.3">
      <c r="A32" s="1"/>
      <c r="B32" s="1"/>
      <c r="C32" s="1"/>
      <c r="D32" s="1"/>
      <c r="E32" s="1"/>
      <c r="F32" s="1"/>
      <c r="G32" s="9" t="s">
        <v>550</v>
      </c>
      <c r="H32" s="9" t="s">
        <v>127</v>
      </c>
      <c r="I32" s="9" t="s">
        <v>486</v>
      </c>
      <c r="J32" s="3" t="s">
        <v>551</v>
      </c>
      <c r="K32" s="13" t="s">
        <v>552</v>
      </c>
      <c r="L32" s="15">
        <f t="shared" si="3"/>
        <v>1.9571759259259275E-2</v>
      </c>
      <c r="M32">
        <f t="shared" si="4"/>
        <v>5</v>
      </c>
    </row>
    <row r="33" spans="1:13" x14ac:dyDescent="0.3">
      <c r="A33" s="1"/>
      <c r="B33" s="1"/>
      <c r="C33" s="1"/>
      <c r="D33" s="1"/>
      <c r="E33" s="1"/>
      <c r="F33" s="1"/>
      <c r="G33" s="9" t="s">
        <v>553</v>
      </c>
      <c r="H33" s="9" t="s">
        <v>127</v>
      </c>
      <c r="I33" s="9" t="s">
        <v>486</v>
      </c>
      <c r="J33" s="3" t="s">
        <v>554</v>
      </c>
      <c r="K33" s="13" t="s">
        <v>555</v>
      </c>
      <c r="L33" s="15">
        <f t="shared" si="3"/>
        <v>1.5173611111111096E-2</v>
      </c>
      <c r="M33">
        <f t="shared" si="4"/>
        <v>9</v>
      </c>
    </row>
    <row r="34" spans="1:13" x14ac:dyDescent="0.3">
      <c r="A34" s="1"/>
      <c r="B34" s="1"/>
      <c r="C34" s="1"/>
      <c r="D34" s="1"/>
      <c r="E34" s="1"/>
      <c r="F34" s="1"/>
      <c r="G34" s="9" t="s">
        <v>556</v>
      </c>
      <c r="H34" s="9" t="s">
        <v>127</v>
      </c>
      <c r="I34" s="9" t="s">
        <v>486</v>
      </c>
      <c r="J34" s="3" t="s">
        <v>557</v>
      </c>
      <c r="K34" s="13" t="s">
        <v>558</v>
      </c>
      <c r="L34" s="15">
        <f t="shared" si="3"/>
        <v>1.6747685185185213E-2</v>
      </c>
      <c r="M34">
        <f t="shared" si="4"/>
        <v>12</v>
      </c>
    </row>
    <row r="35" spans="1:13" x14ac:dyDescent="0.3">
      <c r="A35" s="1"/>
      <c r="B35" s="1"/>
      <c r="C35" s="1"/>
      <c r="D35" s="1"/>
      <c r="E35" s="1"/>
      <c r="F35" s="1"/>
      <c r="G35" s="9" t="s">
        <v>559</v>
      </c>
      <c r="H35" s="9" t="s">
        <v>127</v>
      </c>
      <c r="I35" s="9" t="s">
        <v>486</v>
      </c>
      <c r="J35" s="3" t="s">
        <v>560</v>
      </c>
      <c r="K35" s="13" t="s">
        <v>561</v>
      </c>
      <c r="L35" s="15">
        <f t="shared" si="3"/>
        <v>1.3472222222222219E-2</v>
      </c>
      <c r="M35">
        <f t="shared" si="4"/>
        <v>20</v>
      </c>
    </row>
    <row r="36" spans="1:13" x14ac:dyDescent="0.3">
      <c r="A36" s="1"/>
      <c r="B36" s="1"/>
      <c r="C36" s="9" t="s">
        <v>136</v>
      </c>
      <c r="D36" s="9" t="s">
        <v>137</v>
      </c>
      <c r="E36" s="9" t="s">
        <v>137</v>
      </c>
      <c r="F36" s="9" t="s">
        <v>22</v>
      </c>
      <c r="G36" s="11" t="s">
        <v>19</v>
      </c>
      <c r="H36" s="2"/>
      <c r="I36" s="7"/>
      <c r="J36" s="4"/>
      <c r="K36" s="12"/>
    </row>
    <row r="37" spans="1:13" x14ac:dyDescent="0.3">
      <c r="A37" s="1"/>
      <c r="B37" s="1"/>
      <c r="C37" s="1"/>
      <c r="D37" s="1"/>
      <c r="E37" s="1"/>
      <c r="F37" s="1"/>
      <c r="G37" s="9" t="s">
        <v>562</v>
      </c>
      <c r="H37" s="9" t="s">
        <v>119</v>
      </c>
      <c r="I37" s="9" t="s">
        <v>486</v>
      </c>
      <c r="J37" s="3" t="s">
        <v>563</v>
      </c>
      <c r="K37" s="13" t="s">
        <v>564</v>
      </c>
      <c r="L37" s="15">
        <f t="shared" si="3"/>
        <v>2.7986111111111101E-2</v>
      </c>
      <c r="M37">
        <f t="shared" si="4"/>
        <v>11</v>
      </c>
    </row>
    <row r="38" spans="1:13" x14ac:dyDescent="0.3">
      <c r="A38" s="1"/>
      <c r="B38" s="1"/>
      <c r="C38" s="1"/>
      <c r="D38" s="1"/>
      <c r="E38" s="1"/>
      <c r="F38" s="1"/>
      <c r="G38" s="9" t="s">
        <v>565</v>
      </c>
      <c r="H38" s="9" t="s">
        <v>119</v>
      </c>
      <c r="I38" s="9" t="s">
        <v>486</v>
      </c>
      <c r="J38" s="3" t="s">
        <v>566</v>
      </c>
      <c r="K38" s="13" t="s">
        <v>567</v>
      </c>
      <c r="L38" s="15">
        <f t="shared" si="3"/>
        <v>2.0891203703703676E-2</v>
      </c>
      <c r="M38">
        <f t="shared" si="4"/>
        <v>13</v>
      </c>
    </row>
    <row r="39" spans="1:13" x14ac:dyDescent="0.3">
      <c r="A39" s="1"/>
      <c r="B39" s="1"/>
      <c r="C39" s="9" t="s">
        <v>88</v>
      </c>
      <c r="D39" s="9" t="s">
        <v>89</v>
      </c>
      <c r="E39" s="9" t="s">
        <v>89</v>
      </c>
      <c r="F39" s="9" t="s">
        <v>22</v>
      </c>
      <c r="G39" s="11" t="s">
        <v>19</v>
      </c>
      <c r="H39" s="2"/>
      <c r="I39" s="7"/>
      <c r="J39" s="4"/>
      <c r="K39" s="12"/>
    </row>
    <row r="40" spans="1:13" x14ac:dyDescent="0.3">
      <c r="A40" s="1"/>
      <c r="B40" s="1"/>
      <c r="C40" s="1"/>
      <c r="D40" s="1"/>
      <c r="E40" s="1"/>
      <c r="F40" s="1"/>
      <c r="G40" s="9" t="s">
        <v>568</v>
      </c>
      <c r="H40" s="9" t="s">
        <v>119</v>
      </c>
      <c r="I40" s="9" t="s">
        <v>486</v>
      </c>
      <c r="J40" s="3" t="s">
        <v>569</v>
      </c>
      <c r="K40" s="13" t="s">
        <v>570</v>
      </c>
      <c r="L40" s="15">
        <f t="shared" si="3"/>
        <v>1.6423611111111069E-2</v>
      </c>
      <c r="M40">
        <f t="shared" si="4"/>
        <v>7</v>
      </c>
    </row>
    <row r="41" spans="1:13" x14ac:dyDescent="0.3">
      <c r="A41" s="1"/>
      <c r="B41" s="1"/>
      <c r="C41" s="1"/>
      <c r="D41" s="1"/>
      <c r="E41" s="1"/>
      <c r="F41" s="1"/>
      <c r="G41" s="9" t="s">
        <v>571</v>
      </c>
      <c r="H41" s="9" t="s">
        <v>119</v>
      </c>
      <c r="I41" s="9" t="s">
        <v>486</v>
      </c>
      <c r="J41" s="3" t="s">
        <v>572</v>
      </c>
      <c r="K41" s="13" t="s">
        <v>573</v>
      </c>
      <c r="L41" s="15">
        <f t="shared" si="3"/>
        <v>5.214120370370362E-2</v>
      </c>
      <c r="M41">
        <f t="shared" si="4"/>
        <v>10</v>
      </c>
    </row>
    <row r="42" spans="1:13" x14ac:dyDescent="0.3">
      <c r="A42" s="1"/>
      <c r="B42" s="1"/>
      <c r="C42" s="1"/>
      <c r="D42" s="1"/>
      <c r="E42" s="1"/>
      <c r="F42" s="1"/>
      <c r="G42" s="9" t="s">
        <v>574</v>
      </c>
      <c r="H42" s="9" t="s">
        <v>119</v>
      </c>
      <c r="I42" s="9" t="s">
        <v>486</v>
      </c>
      <c r="J42" s="3" t="s">
        <v>575</v>
      </c>
      <c r="K42" s="13" t="s">
        <v>576</v>
      </c>
      <c r="L42" s="15">
        <f t="shared" si="3"/>
        <v>2.5543981481481515E-2</v>
      </c>
      <c r="M42">
        <f t="shared" si="4"/>
        <v>15</v>
      </c>
    </row>
    <row r="43" spans="1:13" x14ac:dyDescent="0.3">
      <c r="A43" s="1"/>
      <c r="B43" s="1"/>
      <c r="C43" s="9" t="s">
        <v>93</v>
      </c>
      <c r="D43" s="9" t="s">
        <v>94</v>
      </c>
      <c r="E43" s="11" t="s">
        <v>19</v>
      </c>
      <c r="F43" s="2"/>
      <c r="G43" s="2"/>
      <c r="H43" s="2"/>
      <c r="I43" s="7"/>
      <c r="J43" s="4"/>
      <c r="K43" s="12"/>
    </row>
    <row r="44" spans="1:13" x14ac:dyDescent="0.3">
      <c r="A44" s="1"/>
      <c r="B44" s="1"/>
      <c r="C44" s="1"/>
      <c r="D44" s="1"/>
      <c r="E44" s="9" t="s">
        <v>94</v>
      </c>
      <c r="F44" s="9" t="s">
        <v>22</v>
      </c>
      <c r="G44" s="11" t="s">
        <v>19</v>
      </c>
      <c r="H44" s="2"/>
      <c r="I44" s="7"/>
      <c r="J44" s="4"/>
      <c r="K44" s="12"/>
    </row>
    <row r="45" spans="1:13" x14ac:dyDescent="0.3">
      <c r="A45" s="1"/>
      <c r="B45" s="1"/>
      <c r="C45" s="1"/>
      <c r="D45" s="1"/>
      <c r="E45" s="1"/>
      <c r="F45" s="1"/>
      <c r="G45" s="9" t="s">
        <v>577</v>
      </c>
      <c r="H45" s="9" t="s">
        <v>119</v>
      </c>
      <c r="I45" s="9" t="s">
        <v>486</v>
      </c>
      <c r="J45" s="3" t="s">
        <v>578</v>
      </c>
      <c r="K45" s="13" t="s">
        <v>579</v>
      </c>
      <c r="L45" s="15">
        <f t="shared" si="3"/>
        <v>1.4039351851851845E-2</v>
      </c>
      <c r="M45">
        <f t="shared" si="4"/>
        <v>4</v>
      </c>
    </row>
    <row r="46" spans="1:13" x14ac:dyDescent="0.3">
      <c r="A46" s="1"/>
      <c r="B46" s="1"/>
      <c r="C46" s="1"/>
      <c r="D46" s="1"/>
      <c r="E46" s="1"/>
      <c r="F46" s="1"/>
      <c r="G46" s="9" t="s">
        <v>580</v>
      </c>
      <c r="H46" s="9" t="s">
        <v>119</v>
      </c>
      <c r="I46" s="9" t="s">
        <v>486</v>
      </c>
      <c r="J46" s="3" t="s">
        <v>581</v>
      </c>
      <c r="K46" s="13" t="s">
        <v>582</v>
      </c>
      <c r="L46" s="15">
        <f t="shared" si="3"/>
        <v>2.7083333333333348E-2</v>
      </c>
      <c r="M46">
        <f t="shared" si="4"/>
        <v>7</v>
      </c>
    </row>
    <row r="47" spans="1:13" x14ac:dyDescent="0.3">
      <c r="A47" s="1"/>
      <c r="B47" s="1"/>
      <c r="C47" s="1"/>
      <c r="D47" s="1"/>
      <c r="E47" s="1"/>
      <c r="F47" s="1"/>
      <c r="G47" s="9" t="s">
        <v>583</v>
      </c>
      <c r="H47" s="9" t="s">
        <v>119</v>
      </c>
      <c r="I47" s="9" t="s">
        <v>486</v>
      </c>
      <c r="J47" s="3" t="s">
        <v>584</v>
      </c>
      <c r="K47" s="13" t="s">
        <v>585</v>
      </c>
      <c r="L47" s="15">
        <f t="shared" si="3"/>
        <v>3.7280092592592518E-2</v>
      </c>
      <c r="M47">
        <f t="shared" si="4"/>
        <v>11</v>
      </c>
    </row>
    <row r="48" spans="1:13" x14ac:dyDescent="0.3">
      <c r="A48" s="1"/>
      <c r="B48" s="1"/>
      <c r="C48" s="1"/>
      <c r="D48" s="1"/>
      <c r="E48" s="1"/>
      <c r="F48" s="1"/>
      <c r="G48" s="9" t="s">
        <v>586</v>
      </c>
      <c r="H48" s="9" t="s">
        <v>119</v>
      </c>
      <c r="I48" s="9" t="s">
        <v>486</v>
      </c>
      <c r="J48" s="3" t="s">
        <v>587</v>
      </c>
      <c r="K48" s="13" t="s">
        <v>588</v>
      </c>
      <c r="L48" s="15">
        <f t="shared" si="3"/>
        <v>1.6006944444444393E-2</v>
      </c>
      <c r="M48">
        <f t="shared" si="4"/>
        <v>12</v>
      </c>
    </row>
    <row r="49" spans="1:13" x14ac:dyDescent="0.3">
      <c r="A49" s="1"/>
      <c r="B49" s="1"/>
      <c r="C49" s="1"/>
      <c r="D49" s="1"/>
      <c r="E49" s="9" t="s">
        <v>164</v>
      </c>
      <c r="F49" s="9" t="s">
        <v>22</v>
      </c>
      <c r="G49" s="11" t="s">
        <v>19</v>
      </c>
      <c r="H49" s="2"/>
      <c r="I49" s="7"/>
      <c r="J49" s="4"/>
      <c r="K49" s="12"/>
    </row>
    <row r="50" spans="1:13" x14ac:dyDescent="0.3">
      <c r="A50" s="1"/>
      <c r="B50" s="1"/>
      <c r="C50" s="1"/>
      <c r="D50" s="1"/>
      <c r="E50" s="1"/>
      <c r="F50" s="1"/>
      <c r="G50" s="9" t="s">
        <v>589</v>
      </c>
      <c r="H50" s="9" t="s">
        <v>119</v>
      </c>
      <c r="I50" s="9" t="s">
        <v>486</v>
      </c>
      <c r="J50" s="3" t="s">
        <v>590</v>
      </c>
      <c r="K50" s="13" t="s">
        <v>591</v>
      </c>
      <c r="L50" s="15">
        <f t="shared" si="3"/>
        <v>3.226851851851853E-2</v>
      </c>
      <c r="M50">
        <f t="shared" si="4"/>
        <v>6</v>
      </c>
    </row>
    <row r="51" spans="1:13" x14ac:dyDescent="0.3">
      <c r="A51" s="1"/>
      <c r="B51" s="1"/>
      <c r="C51" s="1"/>
      <c r="D51" s="1"/>
      <c r="E51" s="1"/>
      <c r="F51" s="1"/>
      <c r="G51" s="9" t="s">
        <v>592</v>
      </c>
      <c r="H51" s="9" t="s">
        <v>119</v>
      </c>
      <c r="I51" s="9" t="s">
        <v>486</v>
      </c>
      <c r="J51" s="3" t="s">
        <v>593</v>
      </c>
      <c r="K51" s="13" t="s">
        <v>594</v>
      </c>
      <c r="L51" s="15">
        <f t="shared" si="3"/>
        <v>4.4513888888888908E-2</v>
      </c>
      <c r="M51">
        <f t="shared" si="4"/>
        <v>10</v>
      </c>
    </row>
    <row r="52" spans="1:13" x14ac:dyDescent="0.3">
      <c r="A52" s="1"/>
      <c r="B52" s="1"/>
      <c r="C52" s="1"/>
      <c r="D52" s="1"/>
      <c r="E52" s="1"/>
      <c r="F52" s="1"/>
      <c r="G52" s="9" t="s">
        <v>595</v>
      </c>
      <c r="H52" s="9" t="s">
        <v>119</v>
      </c>
      <c r="I52" s="9" t="s">
        <v>486</v>
      </c>
      <c r="J52" s="3" t="s">
        <v>596</v>
      </c>
      <c r="K52" s="13" t="s">
        <v>597</v>
      </c>
      <c r="L52" s="15">
        <f t="shared" si="3"/>
        <v>1.2060185185185257E-2</v>
      </c>
      <c r="M52">
        <f t="shared" si="4"/>
        <v>22</v>
      </c>
    </row>
    <row r="53" spans="1:13" x14ac:dyDescent="0.3">
      <c r="A53" s="1"/>
      <c r="B53" s="1"/>
      <c r="C53" s="1"/>
      <c r="D53" s="1"/>
      <c r="E53" s="1"/>
      <c r="F53" s="1"/>
      <c r="G53" s="9" t="s">
        <v>598</v>
      </c>
      <c r="H53" s="9" t="s">
        <v>119</v>
      </c>
      <c r="I53" s="9" t="s">
        <v>486</v>
      </c>
      <c r="J53" s="3" t="s">
        <v>599</v>
      </c>
      <c r="K53" s="13" t="s">
        <v>600</v>
      </c>
      <c r="L53" s="15">
        <f t="shared" si="3"/>
        <v>2.5173611111111049E-2</v>
      </c>
      <c r="M53">
        <f t="shared" si="4"/>
        <v>16</v>
      </c>
    </row>
    <row r="54" spans="1:13" x14ac:dyDescent="0.3">
      <c r="A54" s="1"/>
      <c r="B54" s="1"/>
      <c r="C54" s="9" t="s">
        <v>177</v>
      </c>
      <c r="D54" s="9" t="s">
        <v>178</v>
      </c>
      <c r="E54" s="9" t="s">
        <v>178</v>
      </c>
      <c r="F54" s="9" t="s">
        <v>22</v>
      </c>
      <c r="G54" s="11" t="s">
        <v>19</v>
      </c>
      <c r="H54" s="2"/>
      <c r="I54" s="7"/>
      <c r="J54" s="4"/>
      <c r="K54" s="12"/>
    </row>
    <row r="55" spans="1:13" x14ac:dyDescent="0.3">
      <c r="A55" s="1"/>
      <c r="B55" s="1"/>
      <c r="C55" s="1"/>
      <c r="D55" s="1"/>
      <c r="E55" s="1"/>
      <c r="F55" s="1"/>
      <c r="G55" s="9" t="s">
        <v>601</v>
      </c>
      <c r="H55" s="9" t="s">
        <v>119</v>
      </c>
      <c r="I55" s="9" t="s">
        <v>486</v>
      </c>
      <c r="J55" s="3" t="s">
        <v>602</v>
      </c>
      <c r="K55" s="13" t="s">
        <v>603</v>
      </c>
      <c r="L55" s="15">
        <f t="shared" si="3"/>
        <v>1.7685185185185248E-2</v>
      </c>
      <c r="M55">
        <f t="shared" si="4"/>
        <v>13</v>
      </c>
    </row>
    <row r="56" spans="1:13" x14ac:dyDescent="0.3">
      <c r="A56" s="1"/>
      <c r="B56" s="1"/>
      <c r="C56" s="1"/>
      <c r="D56" s="1"/>
      <c r="E56" s="1"/>
      <c r="F56" s="1"/>
      <c r="G56" s="9" t="s">
        <v>604</v>
      </c>
      <c r="H56" s="9" t="s">
        <v>119</v>
      </c>
      <c r="I56" s="9" t="s">
        <v>486</v>
      </c>
      <c r="J56" s="3" t="s">
        <v>605</v>
      </c>
      <c r="K56" s="13" t="s">
        <v>606</v>
      </c>
      <c r="L56" s="15">
        <f t="shared" si="3"/>
        <v>3.4768518518518476E-2</v>
      </c>
      <c r="M56">
        <f t="shared" si="4"/>
        <v>16</v>
      </c>
    </row>
    <row r="57" spans="1:13" x14ac:dyDescent="0.3">
      <c r="A57" s="1"/>
      <c r="B57" s="1"/>
      <c r="C57" s="9" t="s">
        <v>607</v>
      </c>
      <c r="D57" s="9" t="s">
        <v>608</v>
      </c>
      <c r="E57" s="9" t="s">
        <v>608</v>
      </c>
      <c r="F57" s="9" t="s">
        <v>22</v>
      </c>
      <c r="G57" s="9" t="s">
        <v>609</v>
      </c>
      <c r="H57" s="9" t="s">
        <v>119</v>
      </c>
      <c r="I57" s="9" t="s">
        <v>486</v>
      </c>
      <c r="J57" s="3" t="s">
        <v>610</v>
      </c>
      <c r="K57" s="13" t="s">
        <v>611</v>
      </c>
      <c r="L57" s="15">
        <f t="shared" si="3"/>
        <v>1.5335648148148251E-2</v>
      </c>
      <c r="M57">
        <f t="shared" si="4"/>
        <v>19</v>
      </c>
    </row>
    <row r="58" spans="1:13" x14ac:dyDescent="0.3">
      <c r="A58" s="1"/>
      <c r="B58" s="1"/>
      <c r="C58" s="9" t="s">
        <v>185</v>
      </c>
      <c r="D58" s="9" t="s">
        <v>186</v>
      </c>
      <c r="E58" s="9" t="s">
        <v>186</v>
      </c>
      <c r="F58" s="9" t="s">
        <v>22</v>
      </c>
      <c r="G58" s="11" t="s">
        <v>19</v>
      </c>
      <c r="H58" s="2"/>
      <c r="I58" s="7"/>
      <c r="J58" s="4"/>
      <c r="K58" s="12"/>
    </row>
    <row r="59" spans="1:13" x14ac:dyDescent="0.3">
      <c r="A59" s="1"/>
      <c r="B59" s="1"/>
      <c r="C59" s="1"/>
      <c r="D59" s="1"/>
      <c r="E59" s="1"/>
      <c r="F59" s="1"/>
      <c r="G59" s="9" t="s">
        <v>612</v>
      </c>
      <c r="H59" s="9" t="s">
        <v>119</v>
      </c>
      <c r="I59" s="9" t="s">
        <v>486</v>
      </c>
      <c r="J59" s="3" t="s">
        <v>613</v>
      </c>
      <c r="K59" s="13" t="s">
        <v>614</v>
      </c>
      <c r="L59" s="15">
        <f t="shared" si="3"/>
        <v>3.9988425925925941E-2</v>
      </c>
      <c r="M59">
        <f t="shared" si="4"/>
        <v>10</v>
      </c>
    </row>
    <row r="60" spans="1:13" x14ac:dyDescent="0.3">
      <c r="A60" s="1"/>
      <c r="B60" s="1"/>
      <c r="C60" s="1"/>
      <c r="D60" s="1"/>
      <c r="E60" s="1"/>
      <c r="F60" s="1"/>
      <c r="G60" s="9" t="s">
        <v>615</v>
      </c>
      <c r="H60" s="9" t="s">
        <v>119</v>
      </c>
      <c r="I60" s="9" t="s">
        <v>486</v>
      </c>
      <c r="J60" s="3" t="s">
        <v>616</v>
      </c>
      <c r="K60" s="13" t="s">
        <v>617</v>
      </c>
      <c r="L60" s="15">
        <f t="shared" si="3"/>
        <v>1.809027777777783E-2</v>
      </c>
      <c r="M60">
        <f t="shared" si="4"/>
        <v>20</v>
      </c>
    </row>
    <row r="61" spans="1:13" x14ac:dyDescent="0.3">
      <c r="A61" s="1"/>
      <c r="B61" s="1"/>
      <c r="C61" s="9" t="s">
        <v>47</v>
      </c>
      <c r="D61" s="9" t="s">
        <v>48</v>
      </c>
      <c r="E61" s="9" t="s">
        <v>190</v>
      </c>
      <c r="F61" s="9" t="s">
        <v>22</v>
      </c>
      <c r="G61" s="11" t="s">
        <v>19</v>
      </c>
      <c r="H61" s="2"/>
      <c r="I61" s="7"/>
      <c r="J61" s="4"/>
      <c r="K61" s="12"/>
    </row>
    <row r="62" spans="1:13" x14ac:dyDescent="0.3">
      <c r="A62" s="1"/>
      <c r="B62" s="1"/>
      <c r="C62" s="1"/>
      <c r="D62" s="1"/>
      <c r="E62" s="1"/>
      <c r="F62" s="1"/>
      <c r="G62" s="9" t="s">
        <v>618</v>
      </c>
      <c r="H62" s="9" t="s">
        <v>192</v>
      </c>
      <c r="I62" s="9" t="s">
        <v>486</v>
      </c>
      <c r="J62" s="3" t="s">
        <v>619</v>
      </c>
      <c r="K62" s="13" t="s">
        <v>620</v>
      </c>
      <c r="L62" s="15">
        <f t="shared" si="3"/>
        <v>3.7002314814814807E-2</v>
      </c>
      <c r="M62">
        <f t="shared" si="4"/>
        <v>6</v>
      </c>
    </row>
    <row r="63" spans="1:13" x14ac:dyDescent="0.3">
      <c r="A63" s="1"/>
      <c r="B63" s="1"/>
      <c r="C63" s="1"/>
      <c r="D63" s="1"/>
      <c r="E63" s="1"/>
      <c r="F63" s="1"/>
      <c r="G63" s="9" t="s">
        <v>621</v>
      </c>
      <c r="H63" s="9" t="s">
        <v>192</v>
      </c>
      <c r="I63" s="9" t="s">
        <v>486</v>
      </c>
      <c r="J63" s="3" t="s">
        <v>622</v>
      </c>
      <c r="K63" s="13" t="s">
        <v>623</v>
      </c>
      <c r="L63" s="15">
        <f t="shared" si="3"/>
        <v>2.7812500000000018E-2</v>
      </c>
      <c r="M63">
        <f t="shared" si="4"/>
        <v>10</v>
      </c>
    </row>
    <row r="64" spans="1:13" x14ac:dyDescent="0.3">
      <c r="A64" s="1"/>
      <c r="B64" s="1"/>
      <c r="C64" s="1"/>
      <c r="D64" s="1"/>
      <c r="E64" s="1"/>
      <c r="F64" s="1"/>
      <c r="G64" s="9" t="s">
        <v>624</v>
      </c>
      <c r="H64" s="9" t="s">
        <v>192</v>
      </c>
      <c r="I64" s="9" t="s">
        <v>486</v>
      </c>
      <c r="J64" s="3" t="s">
        <v>625</v>
      </c>
      <c r="K64" s="13" t="s">
        <v>626</v>
      </c>
      <c r="L64" s="15">
        <f t="shared" si="3"/>
        <v>3.0277777777777737E-2</v>
      </c>
      <c r="M64">
        <f t="shared" si="4"/>
        <v>12</v>
      </c>
    </row>
    <row r="65" spans="1:13" x14ac:dyDescent="0.3">
      <c r="A65" s="1"/>
      <c r="B65" s="1"/>
      <c r="C65" s="9" t="s">
        <v>627</v>
      </c>
      <c r="D65" s="9" t="s">
        <v>628</v>
      </c>
      <c r="E65" s="9" t="s">
        <v>628</v>
      </c>
      <c r="F65" s="9" t="s">
        <v>22</v>
      </c>
      <c r="G65" s="11" t="s">
        <v>19</v>
      </c>
      <c r="H65" s="2"/>
      <c r="I65" s="7"/>
      <c r="J65" s="4"/>
      <c r="K65" s="12"/>
    </row>
    <row r="66" spans="1:13" x14ac:dyDescent="0.3">
      <c r="A66" s="1"/>
      <c r="B66" s="1"/>
      <c r="C66" s="1"/>
      <c r="D66" s="1"/>
      <c r="E66" s="1"/>
      <c r="F66" s="1"/>
      <c r="G66" s="9" t="s">
        <v>629</v>
      </c>
      <c r="H66" s="9" t="s">
        <v>119</v>
      </c>
      <c r="I66" s="9" t="s">
        <v>486</v>
      </c>
      <c r="J66" s="3" t="s">
        <v>630</v>
      </c>
      <c r="K66" s="13" t="s">
        <v>631</v>
      </c>
      <c r="L66" s="15">
        <f t="shared" si="3"/>
        <v>1.1203703703703716E-2</v>
      </c>
      <c r="M66">
        <f t="shared" si="4"/>
        <v>18</v>
      </c>
    </row>
    <row r="67" spans="1:13" x14ac:dyDescent="0.3">
      <c r="A67" s="1"/>
      <c r="B67" s="1"/>
      <c r="C67" s="1"/>
      <c r="D67" s="1"/>
      <c r="E67" s="1"/>
      <c r="F67" s="1"/>
      <c r="G67" s="9" t="s">
        <v>632</v>
      </c>
      <c r="H67" s="9" t="s">
        <v>119</v>
      </c>
      <c r="I67" s="9" t="s">
        <v>486</v>
      </c>
      <c r="J67" s="3" t="s">
        <v>633</v>
      </c>
      <c r="K67" s="13" t="s">
        <v>634</v>
      </c>
      <c r="L67" s="15">
        <f t="shared" ref="L67:L130" si="5">K67-J67</f>
        <v>2.5706018518518503E-2</v>
      </c>
      <c r="M67">
        <f t="shared" ref="M67:M130" si="6">HOUR(J67)</f>
        <v>22</v>
      </c>
    </row>
    <row r="68" spans="1:13" x14ac:dyDescent="0.3">
      <c r="A68" s="1"/>
      <c r="B68" s="1"/>
      <c r="C68" s="9" t="s">
        <v>204</v>
      </c>
      <c r="D68" s="9" t="s">
        <v>205</v>
      </c>
      <c r="E68" s="9" t="s">
        <v>205</v>
      </c>
      <c r="F68" s="9" t="s">
        <v>22</v>
      </c>
      <c r="G68" s="9" t="s">
        <v>635</v>
      </c>
      <c r="H68" s="9" t="s">
        <v>119</v>
      </c>
      <c r="I68" s="9" t="s">
        <v>486</v>
      </c>
      <c r="J68" s="3" t="s">
        <v>636</v>
      </c>
      <c r="K68" s="13" t="s">
        <v>637</v>
      </c>
      <c r="L68" s="15">
        <f t="shared" si="5"/>
        <v>1.9050925925925888E-2</v>
      </c>
      <c r="M68">
        <f t="shared" si="6"/>
        <v>7</v>
      </c>
    </row>
    <row r="69" spans="1:13" x14ac:dyDescent="0.3">
      <c r="A69" s="9" t="s">
        <v>214</v>
      </c>
      <c r="B69" s="9" t="s">
        <v>215</v>
      </c>
      <c r="C69" s="11" t="s">
        <v>19</v>
      </c>
      <c r="D69" s="2">
        <v>2400</v>
      </c>
      <c r="E69" s="2"/>
      <c r="F69" s="2"/>
      <c r="G69" s="2"/>
      <c r="H69" s="2"/>
      <c r="I69" s="7"/>
      <c r="J69" s="4"/>
      <c r="K69" s="12"/>
    </row>
    <row r="70" spans="1:13" x14ac:dyDescent="0.3">
      <c r="A70" s="1"/>
      <c r="B70" s="1"/>
      <c r="C70" s="9" t="s">
        <v>216</v>
      </c>
      <c r="D70" s="9" t="s">
        <v>217</v>
      </c>
      <c r="E70" s="9" t="s">
        <v>217</v>
      </c>
      <c r="F70" s="9" t="s">
        <v>22</v>
      </c>
      <c r="G70" s="11" t="s">
        <v>19</v>
      </c>
      <c r="H70" s="2"/>
      <c r="I70" s="7"/>
      <c r="J70" s="4"/>
      <c r="K70" s="12"/>
    </row>
    <row r="71" spans="1:13" x14ac:dyDescent="0.3">
      <c r="A71" s="1"/>
      <c r="B71" s="1"/>
      <c r="C71" s="1"/>
      <c r="D71" s="1"/>
      <c r="E71" s="1"/>
      <c r="F71" s="1"/>
      <c r="G71" s="9" t="s">
        <v>638</v>
      </c>
      <c r="H71" s="9" t="s">
        <v>119</v>
      </c>
      <c r="I71" s="9" t="s">
        <v>486</v>
      </c>
      <c r="J71" s="3" t="s">
        <v>639</v>
      </c>
      <c r="K71" s="13" t="s">
        <v>640</v>
      </c>
      <c r="L71" s="15">
        <f t="shared" si="5"/>
        <v>1.938657407407407E-2</v>
      </c>
      <c r="M71">
        <f t="shared" si="6"/>
        <v>5</v>
      </c>
    </row>
    <row r="72" spans="1:13" x14ac:dyDescent="0.3">
      <c r="A72" s="1"/>
      <c r="B72" s="1"/>
      <c r="C72" s="1"/>
      <c r="D72" s="1"/>
      <c r="E72" s="1"/>
      <c r="F72" s="1"/>
      <c r="G72" s="9" t="s">
        <v>641</v>
      </c>
      <c r="H72" s="9" t="s">
        <v>119</v>
      </c>
      <c r="I72" s="9" t="s">
        <v>486</v>
      </c>
      <c r="J72" s="3" t="s">
        <v>642</v>
      </c>
      <c r="K72" s="13" t="s">
        <v>643</v>
      </c>
      <c r="L72" s="15">
        <f t="shared" si="5"/>
        <v>2.3576388888888855E-2</v>
      </c>
      <c r="M72">
        <f t="shared" si="6"/>
        <v>6</v>
      </c>
    </row>
    <row r="73" spans="1:13" x14ac:dyDescent="0.3">
      <c r="A73" s="1"/>
      <c r="B73" s="1"/>
      <c r="C73" s="1"/>
      <c r="D73" s="1"/>
      <c r="E73" s="1"/>
      <c r="F73" s="1"/>
      <c r="G73" s="9" t="s">
        <v>644</v>
      </c>
      <c r="H73" s="9" t="s">
        <v>119</v>
      </c>
      <c r="I73" s="9" t="s">
        <v>486</v>
      </c>
      <c r="J73" s="3" t="s">
        <v>645</v>
      </c>
      <c r="K73" s="13" t="s">
        <v>646</v>
      </c>
      <c r="L73" s="15">
        <f t="shared" si="5"/>
        <v>3.2025462962962992E-2</v>
      </c>
      <c r="M73">
        <f t="shared" si="6"/>
        <v>10</v>
      </c>
    </row>
    <row r="74" spans="1:13" x14ac:dyDescent="0.3">
      <c r="A74" s="1"/>
      <c r="B74" s="1"/>
      <c r="C74" s="1"/>
      <c r="D74" s="1"/>
      <c r="E74" s="1"/>
      <c r="F74" s="1"/>
      <c r="G74" s="9" t="s">
        <v>647</v>
      </c>
      <c r="H74" s="9" t="s">
        <v>119</v>
      </c>
      <c r="I74" s="9" t="s">
        <v>486</v>
      </c>
      <c r="J74" s="3" t="s">
        <v>648</v>
      </c>
      <c r="K74" s="13" t="s">
        <v>649</v>
      </c>
      <c r="L74" s="15">
        <f t="shared" si="5"/>
        <v>3.3402777777777781E-2</v>
      </c>
      <c r="M74">
        <f t="shared" si="6"/>
        <v>14</v>
      </c>
    </row>
    <row r="75" spans="1:13" x14ac:dyDescent="0.3">
      <c r="A75" s="1"/>
      <c r="B75" s="1"/>
      <c r="C75" s="1"/>
      <c r="D75" s="1"/>
      <c r="E75" s="1"/>
      <c r="F75" s="1"/>
      <c r="G75" s="9" t="s">
        <v>650</v>
      </c>
      <c r="H75" s="9" t="s">
        <v>119</v>
      </c>
      <c r="I75" s="9" t="s">
        <v>486</v>
      </c>
      <c r="J75" s="3" t="s">
        <v>651</v>
      </c>
      <c r="K75" s="13" t="s">
        <v>652</v>
      </c>
      <c r="L75" s="15">
        <f t="shared" si="5"/>
        <v>1.505787037037043E-2</v>
      </c>
      <c r="M75">
        <f t="shared" si="6"/>
        <v>17</v>
      </c>
    </row>
    <row r="76" spans="1:13" x14ac:dyDescent="0.3">
      <c r="A76" s="1"/>
      <c r="B76" s="1"/>
      <c r="C76" s="1"/>
      <c r="D76" s="1"/>
      <c r="E76" s="1"/>
      <c r="F76" s="1"/>
      <c r="G76" s="9" t="s">
        <v>653</v>
      </c>
      <c r="H76" s="9" t="s">
        <v>119</v>
      </c>
      <c r="I76" s="9" t="s">
        <v>486</v>
      </c>
      <c r="J76" s="3" t="s">
        <v>654</v>
      </c>
      <c r="K76" s="13" t="s">
        <v>655</v>
      </c>
      <c r="L76" s="15">
        <f t="shared" si="5"/>
        <v>1.7187500000000022E-2</v>
      </c>
      <c r="M76">
        <f t="shared" si="6"/>
        <v>17</v>
      </c>
    </row>
    <row r="77" spans="1:13" x14ac:dyDescent="0.3">
      <c r="A77" s="1"/>
      <c r="B77" s="1"/>
      <c r="C77" s="9" t="s">
        <v>116</v>
      </c>
      <c r="D77" s="9" t="s">
        <v>117</v>
      </c>
      <c r="E77" s="9" t="s">
        <v>117</v>
      </c>
      <c r="F77" s="9" t="s">
        <v>22</v>
      </c>
      <c r="G77" s="11" t="s">
        <v>19</v>
      </c>
      <c r="H77" s="2"/>
      <c r="I77" s="7"/>
      <c r="J77" s="4"/>
      <c r="K77" s="12"/>
    </row>
    <row r="78" spans="1:13" x14ac:dyDescent="0.3">
      <c r="A78" s="1"/>
      <c r="B78" s="1"/>
      <c r="C78" s="1"/>
      <c r="D78" s="1"/>
      <c r="E78" s="1"/>
      <c r="F78" s="1"/>
      <c r="G78" s="9" t="s">
        <v>656</v>
      </c>
      <c r="H78" s="9" t="s">
        <v>119</v>
      </c>
      <c r="I78" s="9" t="s">
        <v>486</v>
      </c>
      <c r="J78" s="3" t="s">
        <v>657</v>
      </c>
      <c r="K78" s="13" t="s">
        <v>658</v>
      </c>
      <c r="L78" s="15">
        <f t="shared" si="5"/>
        <v>1.5775462962962949E-2</v>
      </c>
      <c r="M78">
        <f t="shared" si="6"/>
        <v>4</v>
      </c>
    </row>
    <row r="79" spans="1:13" x14ac:dyDescent="0.3">
      <c r="A79" s="1"/>
      <c r="B79" s="1"/>
      <c r="C79" s="1"/>
      <c r="D79" s="1"/>
      <c r="E79" s="1"/>
      <c r="F79" s="1"/>
      <c r="G79" s="9" t="s">
        <v>659</v>
      </c>
      <c r="H79" s="9" t="s">
        <v>119</v>
      </c>
      <c r="I79" s="9" t="s">
        <v>486</v>
      </c>
      <c r="J79" s="3" t="s">
        <v>660</v>
      </c>
      <c r="K79" s="13" t="s">
        <v>661</v>
      </c>
      <c r="L79" s="15">
        <f t="shared" si="5"/>
        <v>1.3912037037037028E-2</v>
      </c>
      <c r="M79">
        <f t="shared" si="6"/>
        <v>7</v>
      </c>
    </row>
    <row r="80" spans="1:13" x14ac:dyDescent="0.3">
      <c r="A80" s="1"/>
      <c r="B80" s="1"/>
      <c r="C80" s="1"/>
      <c r="D80" s="1"/>
      <c r="E80" s="1"/>
      <c r="F80" s="1"/>
      <c r="G80" s="9" t="s">
        <v>662</v>
      </c>
      <c r="H80" s="9" t="s">
        <v>119</v>
      </c>
      <c r="I80" s="9" t="s">
        <v>486</v>
      </c>
      <c r="J80" s="3" t="s">
        <v>663</v>
      </c>
      <c r="K80" s="13" t="s">
        <v>664</v>
      </c>
      <c r="L80" s="15">
        <f t="shared" si="5"/>
        <v>1.4942129629629652E-2</v>
      </c>
      <c r="M80">
        <f t="shared" si="6"/>
        <v>7</v>
      </c>
    </row>
    <row r="81" spans="1:13" x14ac:dyDescent="0.3">
      <c r="A81" s="1"/>
      <c r="B81" s="1"/>
      <c r="C81" s="1"/>
      <c r="D81" s="1"/>
      <c r="E81" s="1"/>
      <c r="F81" s="1"/>
      <c r="G81" s="9" t="s">
        <v>665</v>
      </c>
      <c r="H81" s="9" t="s">
        <v>119</v>
      </c>
      <c r="I81" s="9" t="s">
        <v>486</v>
      </c>
      <c r="J81" s="3" t="s">
        <v>143</v>
      </c>
      <c r="K81" s="13" t="s">
        <v>666</v>
      </c>
      <c r="L81" s="15">
        <f t="shared" si="5"/>
        <v>1.3993055555555578E-2</v>
      </c>
      <c r="M81">
        <f t="shared" si="6"/>
        <v>9</v>
      </c>
    </row>
    <row r="82" spans="1:13" x14ac:dyDescent="0.3">
      <c r="A82" s="1"/>
      <c r="B82" s="1"/>
      <c r="C82" s="1"/>
      <c r="D82" s="1"/>
      <c r="E82" s="1"/>
      <c r="F82" s="1"/>
      <c r="G82" s="9" t="s">
        <v>667</v>
      </c>
      <c r="H82" s="9" t="s">
        <v>119</v>
      </c>
      <c r="I82" s="9" t="s">
        <v>486</v>
      </c>
      <c r="J82" s="3" t="s">
        <v>668</v>
      </c>
      <c r="K82" s="13" t="s">
        <v>669</v>
      </c>
      <c r="L82" s="15">
        <f t="shared" si="5"/>
        <v>1.7638888888888871E-2</v>
      </c>
      <c r="M82">
        <f t="shared" si="6"/>
        <v>12</v>
      </c>
    </row>
    <row r="83" spans="1:13" x14ac:dyDescent="0.3">
      <c r="A83" s="1"/>
      <c r="B83" s="1"/>
      <c r="C83" s="1"/>
      <c r="D83" s="1"/>
      <c r="E83" s="1"/>
      <c r="F83" s="1"/>
      <c r="G83" s="9" t="s">
        <v>670</v>
      </c>
      <c r="H83" s="9" t="s">
        <v>119</v>
      </c>
      <c r="I83" s="9" t="s">
        <v>486</v>
      </c>
      <c r="J83" s="3" t="s">
        <v>671</v>
      </c>
      <c r="K83" s="13" t="s">
        <v>672</v>
      </c>
      <c r="L83" s="15">
        <f t="shared" si="5"/>
        <v>1.3263888888888853E-2</v>
      </c>
      <c r="M83">
        <f t="shared" si="6"/>
        <v>15</v>
      </c>
    </row>
    <row r="84" spans="1:13" x14ac:dyDescent="0.3">
      <c r="A84" s="1"/>
      <c r="B84" s="1"/>
      <c r="C84" s="1"/>
      <c r="D84" s="1"/>
      <c r="E84" s="1"/>
      <c r="F84" s="1"/>
      <c r="G84" s="9" t="s">
        <v>673</v>
      </c>
      <c r="H84" s="9" t="s">
        <v>119</v>
      </c>
      <c r="I84" s="9" t="s">
        <v>486</v>
      </c>
      <c r="J84" s="3" t="s">
        <v>674</v>
      </c>
      <c r="K84" s="13" t="s">
        <v>675</v>
      </c>
      <c r="L84" s="15">
        <f t="shared" si="5"/>
        <v>1.3425925925925952E-2</v>
      </c>
      <c r="M84">
        <f t="shared" si="6"/>
        <v>18</v>
      </c>
    </row>
    <row r="85" spans="1:13" x14ac:dyDescent="0.3">
      <c r="A85" s="1"/>
      <c r="B85" s="1"/>
      <c r="C85" s="1"/>
      <c r="D85" s="1"/>
      <c r="E85" s="1"/>
      <c r="F85" s="1"/>
      <c r="G85" s="9" t="s">
        <v>676</v>
      </c>
      <c r="H85" s="9" t="s">
        <v>119</v>
      </c>
      <c r="I85" s="9" t="s">
        <v>486</v>
      </c>
      <c r="J85" s="3" t="s">
        <v>677</v>
      </c>
      <c r="K85" s="13" t="s">
        <v>678</v>
      </c>
      <c r="L85" s="15">
        <f t="shared" si="5"/>
        <v>1.2847222222222232E-2</v>
      </c>
      <c r="M85">
        <f t="shared" si="6"/>
        <v>20</v>
      </c>
    </row>
    <row r="86" spans="1:13" x14ac:dyDescent="0.3">
      <c r="A86" s="1"/>
      <c r="B86" s="1"/>
      <c r="C86" s="9" t="s">
        <v>136</v>
      </c>
      <c r="D86" s="9" t="s">
        <v>137</v>
      </c>
      <c r="E86" s="9" t="s">
        <v>137</v>
      </c>
      <c r="F86" s="9" t="s">
        <v>22</v>
      </c>
      <c r="G86" s="11" t="s">
        <v>19</v>
      </c>
      <c r="H86" s="2"/>
      <c r="I86" s="7"/>
      <c r="J86" s="4"/>
      <c r="K86" s="12"/>
    </row>
    <row r="87" spans="1:13" x14ac:dyDescent="0.3">
      <c r="A87" s="1"/>
      <c r="B87" s="1"/>
      <c r="C87" s="1"/>
      <c r="D87" s="1"/>
      <c r="E87" s="1"/>
      <c r="F87" s="1"/>
      <c r="G87" s="9" t="s">
        <v>679</v>
      </c>
      <c r="H87" s="9" t="s">
        <v>119</v>
      </c>
      <c r="I87" s="9" t="s">
        <v>486</v>
      </c>
      <c r="J87" s="3" t="s">
        <v>680</v>
      </c>
      <c r="K87" s="13" t="s">
        <v>681</v>
      </c>
      <c r="L87" s="15">
        <f t="shared" si="5"/>
        <v>1.4120370370370394E-2</v>
      </c>
      <c r="M87">
        <f t="shared" si="6"/>
        <v>4</v>
      </c>
    </row>
    <row r="88" spans="1:13" x14ac:dyDescent="0.3">
      <c r="A88" s="1"/>
      <c r="B88" s="1"/>
      <c r="C88" s="1"/>
      <c r="D88" s="1"/>
      <c r="E88" s="1"/>
      <c r="F88" s="1"/>
      <c r="G88" s="9" t="s">
        <v>682</v>
      </c>
      <c r="H88" s="9" t="s">
        <v>119</v>
      </c>
      <c r="I88" s="9" t="s">
        <v>486</v>
      </c>
      <c r="J88" s="3" t="s">
        <v>683</v>
      </c>
      <c r="K88" s="13" t="s">
        <v>684</v>
      </c>
      <c r="L88" s="15">
        <f t="shared" si="5"/>
        <v>1.5081018518518507E-2</v>
      </c>
      <c r="M88">
        <f t="shared" si="6"/>
        <v>4</v>
      </c>
    </row>
    <row r="89" spans="1:13" x14ac:dyDescent="0.3">
      <c r="A89" s="1"/>
      <c r="B89" s="1"/>
      <c r="C89" s="1"/>
      <c r="D89" s="1"/>
      <c r="E89" s="1"/>
      <c r="F89" s="1"/>
      <c r="G89" s="9" t="s">
        <v>685</v>
      </c>
      <c r="H89" s="9" t="s">
        <v>119</v>
      </c>
      <c r="I89" s="9" t="s">
        <v>486</v>
      </c>
      <c r="J89" s="3" t="s">
        <v>686</v>
      </c>
      <c r="K89" s="13" t="s">
        <v>687</v>
      </c>
      <c r="L89" s="15">
        <f t="shared" si="5"/>
        <v>3.2453703703703707E-2</v>
      </c>
      <c r="M89">
        <f t="shared" si="6"/>
        <v>8</v>
      </c>
    </row>
    <row r="90" spans="1:13" x14ac:dyDescent="0.3">
      <c r="A90" s="1"/>
      <c r="B90" s="1"/>
      <c r="C90" s="1"/>
      <c r="D90" s="1"/>
      <c r="E90" s="1"/>
      <c r="F90" s="1"/>
      <c r="G90" s="9" t="s">
        <v>688</v>
      </c>
      <c r="H90" s="9" t="s">
        <v>119</v>
      </c>
      <c r="I90" s="9" t="s">
        <v>486</v>
      </c>
      <c r="J90" s="3" t="s">
        <v>689</v>
      </c>
      <c r="K90" s="13" t="s">
        <v>690</v>
      </c>
      <c r="L90" s="15">
        <f t="shared" si="5"/>
        <v>3.6631944444444453E-2</v>
      </c>
      <c r="M90">
        <f t="shared" si="6"/>
        <v>8</v>
      </c>
    </row>
    <row r="91" spans="1:13" x14ac:dyDescent="0.3">
      <c r="A91" s="1"/>
      <c r="B91" s="1"/>
      <c r="C91" s="1"/>
      <c r="D91" s="1"/>
      <c r="E91" s="1"/>
      <c r="F91" s="1"/>
      <c r="G91" s="9" t="s">
        <v>691</v>
      </c>
      <c r="H91" s="9" t="s">
        <v>119</v>
      </c>
      <c r="I91" s="9" t="s">
        <v>486</v>
      </c>
      <c r="J91" s="3" t="s">
        <v>692</v>
      </c>
      <c r="K91" s="13" t="s">
        <v>132</v>
      </c>
      <c r="L91" s="15">
        <f t="shared" si="5"/>
        <v>2.3206018518518556E-2</v>
      </c>
      <c r="M91">
        <f t="shared" si="6"/>
        <v>9</v>
      </c>
    </row>
    <row r="92" spans="1:13" x14ac:dyDescent="0.3">
      <c r="A92" s="1"/>
      <c r="B92" s="1"/>
      <c r="C92" s="9" t="s">
        <v>147</v>
      </c>
      <c r="D92" s="9" t="s">
        <v>148</v>
      </c>
      <c r="E92" s="11" t="s">
        <v>19</v>
      </c>
      <c r="F92" s="2"/>
      <c r="G92" s="2"/>
      <c r="H92" s="2"/>
      <c r="I92" s="7"/>
      <c r="J92" s="4"/>
      <c r="K92" s="12"/>
    </row>
    <row r="93" spans="1:13" x14ac:dyDescent="0.3">
      <c r="A93" s="1"/>
      <c r="B93" s="1"/>
      <c r="C93" s="1"/>
      <c r="D93" s="1"/>
      <c r="E93" s="9" t="s">
        <v>272</v>
      </c>
      <c r="F93" s="9" t="s">
        <v>22</v>
      </c>
      <c r="G93" s="11" t="s">
        <v>19</v>
      </c>
      <c r="H93" s="2"/>
      <c r="I93" s="7"/>
      <c r="J93" s="4"/>
      <c r="K93" s="12"/>
    </row>
    <row r="94" spans="1:13" x14ac:dyDescent="0.3">
      <c r="A94" s="1"/>
      <c r="B94" s="1"/>
      <c r="C94" s="1"/>
      <c r="D94" s="1"/>
      <c r="E94" s="1"/>
      <c r="F94" s="1"/>
      <c r="G94" s="9" t="s">
        <v>693</v>
      </c>
      <c r="H94" s="9" t="s">
        <v>119</v>
      </c>
      <c r="I94" s="9" t="s">
        <v>486</v>
      </c>
      <c r="J94" s="3" t="s">
        <v>694</v>
      </c>
      <c r="K94" s="13" t="s">
        <v>695</v>
      </c>
      <c r="L94" s="15">
        <f t="shared" si="5"/>
        <v>3.2187499999999925E-2</v>
      </c>
      <c r="M94">
        <f t="shared" si="6"/>
        <v>8</v>
      </c>
    </row>
    <row r="95" spans="1:13" x14ac:dyDescent="0.3">
      <c r="A95" s="1"/>
      <c r="B95" s="1"/>
      <c r="C95" s="1"/>
      <c r="D95" s="1"/>
      <c r="E95" s="1"/>
      <c r="F95" s="1"/>
      <c r="G95" s="9" t="s">
        <v>696</v>
      </c>
      <c r="H95" s="9" t="s">
        <v>119</v>
      </c>
      <c r="I95" s="9" t="s">
        <v>486</v>
      </c>
      <c r="J95" s="3" t="s">
        <v>697</v>
      </c>
      <c r="K95" s="13" t="s">
        <v>698</v>
      </c>
      <c r="L95" s="15">
        <f t="shared" si="5"/>
        <v>1.4641203703703753E-2</v>
      </c>
      <c r="M95">
        <f t="shared" si="6"/>
        <v>9</v>
      </c>
    </row>
    <row r="96" spans="1:13" x14ac:dyDescent="0.3">
      <c r="A96" s="1"/>
      <c r="B96" s="1"/>
      <c r="C96" s="1"/>
      <c r="D96" s="1"/>
      <c r="E96" s="1"/>
      <c r="F96" s="1"/>
      <c r="G96" s="9" t="s">
        <v>699</v>
      </c>
      <c r="H96" s="9" t="s">
        <v>119</v>
      </c>
      <c r="I96" s="9" t="s">
        <v>486</v>
      </c>
      <c r="J96" s="3" t="s">
        <v>700</v>
      </c>
      <c r="K96" s="13" t="s">
        <v>701</v>
      </c>
      <c r="L96" s="15">
        <f t="shared" si="5"/>
        <v>1.5069444444444413E-2</v>
      </c>
      <c r="M96">
        <f t="shared" si="6"/>
        <v>10</v>
      </c>
    </row>
    <row r="97" spans="1:13" x14ac:dyDescent="0.3">
      <c r="A97" s="1"/>
      <c r="B97" s="1"/>
      <c r="C97" s="1"/>
      <c r="D97" s="1"/>
      <c r="E97" s="1"/>
      <c r="F97" s="1"/>
      <c r="G97" s="9" t="s">
        <v>702</v>
      </c>
      <c r="H97" s="9" t="s">
        <v>119</v>
      </c>
      <c r="I97" s="9" t="s">
        <v>486</v>
      </c>
      <c r="J97" s="3" t="s">
        <v>703</v>
      </c>
      <c r="K97" s="13" t="s">
        <v>704</v>
      </c>
      <c r="L97" s="15">
        <f t="shared" si="5"/>
        <v>3.6192129629629588E-2</v>
      </c>
      <c r="M97">
        <f t="shared" si="6"/>
        <v>12</v>
      </c>
    </row>
    <row r="98" spans="1:13" x14ac:dyDescent="0.3">
      <c r="A98" s="1"/>
      <c r="B98" s="1"/>
      <c r="C98" s="1"/>
      <c r="D98" s="1"/>
      <c r="E98" s="1"/>
      <c r="F98" s="1"/>
      <c r="G98" s="9" t="s">
        <v>705</v>
      </c>
      <c r="H98" s="9" t="s">
        <v>119</v>
      </c>
      <c r="I98" s="9" t="s">
        <v>486</v>
      </c>
      <c r="J98" s="3" t="s">
        <v>706</v>
      </c>
      <c r="K98" s="13" t="s">
        <v>707</v>
      </c>
      <c r="L98" s="15">
        <f t="shared" si="5"/>
        <v>3.1145833333333317E-2</v>
      </c>
      <c r="M98">
        <f t="shared" si="6"/>
        <v>12</v>
      </c>
    </row>
    <row r="99" spans="1:13" x14ac:dyDescent="0.3">
      <c r="A99" s="1"/>
      <c r="B99" s="1"/>
      <c r="C99" s="1"/>
      <c r="D99" s="1"/>
      <c r="E99" s="1"/>
      <c r="F99" s="1"/>
      <c r="G99" s="9" t="s">
        <v>708</v>
      </c>
      <c r="H99" s="9" t="s">
        <v>119</v>
      </c>
      <c r="I99" s="9" t="s">
        <v>486</v>
      </c>
      <c r="J99" s="3" t="s">
        <v>709</v>
      </c>
      <c r="K99" s="13" t="s">
        <v>710</v>
      </c>
      <c r="L99" s="15">
        <f t="shared" si="5"/>
        <v>2.0312499999999956E-2</v>
      </c>
      <c r="M99">
        <f t="shared" si="6"/>
        <v>13</v>
      </c>
    </row>
    <row r="100" spans="1:13" x14ac:dyDescent="0.3">
      <c r="A100" s="1"/>
      <c r="B100" s="1"/>
      <c r="C100" s="1"/>
      <c r="D100" s="1"/>
      <c r="E100" s="1"/>
      <c r="F100" s="1"/>
      <c r="G100" s="9" t="s">
        <v>711</v>
      </c>
      <c r="H100" s="9" t="s">
        <v>119</v>
      </c>
      <c r="I100" s="9" t="s">
        <v>486</v>
      </c>
      <c r="J100" s="3" t="s">
        <v>712</v>
      </c>
      <c r="K100" s="13" t="s">
        <v>713</v>
      </c>
      <c r="L100" s="15">
        <f t="shared" si="5"/>
        <v>1.5486111111111089E-2</v>
      </c>
      <c r="M100">
        <f t="shared" si="6"/>
        <v>13</v>
      </c>
    </row>
    <row r="101" spans="1:13" x14ac:dyDescent="0.3">
      <c r="A101" s="1"/>
      <c r="B101" s="1"/>
      <c r="C101" s="1"/>
      <c r="D101" s="1"/>
      <c r="E101" s="1"/>
      <c r="F101" s="1"/>
      <c r="G101" s="9" t="s">
        <v>714</v>
      </c>
      <c r="H101" s="9" t="s">
        <v>119</v>
      </c>
      <c r="I101" s="9" t="s">
        <v>486</v>
      </c>
      <c r="J101" s="3" t="s">
        <v>715</v>
      </c>
      <c r="K101" s="13" t="s">
        <v>716</v>
      </c>
      <c r="L101" s="15">
        <f t="shared" si="5"/>
        <v>2.415509259259252E-2</v>
      </c>
      <c r="M101">
        <f t="shared" si="6"/>
        <v>13</v>
      </c>
    </row>
    <row r="102" spans="1:13" x14ac:dyDescent="0.3">
      <c r="A102" s="1"/>
      <c r="B102" s="1"/>
      <c r="C102" s="1"/>
      <c r="D102" s="1"/>
      <c r="E102" s="9" t="s">
        <v>300</v>
      </c>
      <c r="F102" s="9" t="s">
        <v>22</v>
      </c>
      <c r="G102" s="11" t="s">
        <v>19</v>
      </c>
      <c r="H102" s="2"/>
      <c r="I102" s="7"/>
      <c r="J102" s="4"/>
      <c r="K102" s="12"/>
    </row>
    <row r="103" spans="1:13" x14ac:dyDescent="0.3">
      <c r="A103" s="1"/>
      <c r="B103" s="1"/>
      <c r="C103" s="1"/>
      <c r="D103" s="1"/>
      <c r="E103" s="1"/>
      <c r="F103" s="1"/>
      <c r="G103" s="9" t="s">
        <v>717</v>
      </c>
      <c r="H103" s="9" t="s">
        <v>119</v>
      </c>
      <c r="I103" s="9" t="s">
        <v>486</v>
      </c>
      <c r="J103" s="3" t="s">
        <v>718</v>
      </c>
      <c r="K103" s="13" t="s">
        <v>719</v>
      </c>
      <c r="L103" s="15">
        <f t="shared" si="5"/>
        <v>2.1689814814814856E-2</v>
      </c>
      <c r="M103">
        <f t="shared" si="6"/>
        <v>9</v>
      </c>
    </row>
    <row r="104" spans="1:13" x14ac:dyDescent="0.3">
      <c r="A104" s="1"/>
      <c r="B104" s="1"/>
      <c r="C104" s="1"/>
      <c r="D104" s="1"/>
      <c r="E104" s="1"/>
      <c r="F104" s="1"/>
      <c r="G104" s="9" t="s">
        <v>720</v>
      </c>
      <c r="H104" s="9" t="s">
        <v>119</v>
      </c>
      <c r="I104" s="9" t="s">
        <v>486</v>
      </c>
      <c r="J104" s="3" t="s">
        <v>721</v>
      </c>
      <c r="K104" s="13" t="s">
        <v>722</v>
      </c>
      <c r="L104" s="15">
        <f t="shared" si="5"/>
        <v>1.7488425925925977E-2</v>
      </c>
      <c r="M104">
        <f t="shared" si="6"/>
        <v>10</v>
      </c>
    </row>
    <row r="105" spans="1:13" x14ac:dyDescent="0.3">
      <c r="A105" s="1"/>
      <c r="B105" s="1"/>
      <c r="C105" s="1"/>
      <c r="D105" s="1"/>
      <c r="E105" s="1"/>
      <c r="F105" s="1"/>
      <c r="G105" s="9" t="s">
        <v>723</v>
      </c>
      <c r="H105" s="9" t="s">
        <v>119</v>
      </c>
      <c r="I105" s="9" t="s">
        <v>486</v>
      </c>
      <c r="J105" s="3" t="s">
        <v>724</v>
      </c>
      <c r="K105" s="13" t="s">
        <v>725</v>
      </c>
      <c r="L105" s="15">
        <f t="shared" si="5"/>
        <v>3.1087962962962901E-2</v>
      </c>
      <c r="M105">
        <f t="shared" si="6"/>
        <v>12</v>
      </c>
    </row>
    <row r="106" spans="1:13" x14ac:dyDescent="0.3">
      <c r="A106" s="1"/>
      <c r="B106" s="1"/>
      <c r="C106" s="1"/>
      <c r="D106" s="1"/>
      <c r="E106" s="1"/>
      <c r="F106" s="1"/>
      <c r="G106" s="9" t="s">
        <v>726</v>
      </c>
      <c r="H106" s="9" t="s">
        <v>119</v>
      </c>
      <c r="I106" s="9" t="s">
        <v>486</v>
      </c>
      <c r="J106" s="3" t="s">
        <v>727</v>
      </c>
      <c r="K106" s="13" t="s">
        <v>728</v>
      </c>
      <c r="L106" s="15">
        <f t="shared" si="5"/>
        <v>3.3622685185185186E-2</v>
      </c>
      <c r="M106">
        <f t="shared" si="6"/>
        <v>12</v>
      </c>
    </row>
    <row r="107" spans="1:13" x14ac:dyDescent="0.3">
      <c r="A107" s="1"/>
      <c r="B107" s="1"/>
      <c r="C107" s="9" t="s">
        <v>153</v>
      </c>
      <c r="D107" s="9" t="s">
        <v>154</v>
      </c>
      <c r="E107" s="9" t="s">
        <v>154</v>
      </c>
      <c r="F107" s="9" t="s">
        <v>22</v>
      </c>
      <c r="G107" s="9" t="s">
        <v>729</v>
      </c>
      <c r="H107" s="9" t="s">
        <v>119</v>
      </c>
      <c r="I107" s="9" t="s">
        <v>486</v>
      </c>
      <c r="J107" s="3" t="s">
        <v>730</v>
      </c>
      <c r="K107" s="13" t="s">
        <v>731</v>
      </c>
      <c r="L107" s="15">
        <f t="shared" si="5"/>
        <v>1.4826388888888889E-2</v>
      </c>
      <c r="M107">
        <f t="shared" si="6"/>
        <v>2</v>
      </c>
    </row>
    <row r="108" spans="1:13" x14ac:dyDescent="0.3">
      <c r="A108" s="1"/>
      <c r="B108" s="1"/>
      <c r="C108" s="9" t="s">
        <v>88</v>
      </c>
      <c r="D108" s="9" t="s">
        <v>89</v>
      </c>
      <c r="E108" s="9" t="s">
        <v>89</v>
      </c>
      <c r="F108" s="9" t="s">
        <v>22</v>
      </c>
      <c r="G108" s="9" t="s">
        <v>732</v>
      </c>
      <c r="H108" s="9" t="s">
        <v>119</v>
      </c>
      <c r="I108" s="9" t="s">
        <v>486</v>
      </c>
      <c r="J108" s="3" t="s">
        <v>733</v>
      </c>
      <c r="K108" s="13" t="s">
        <v>734</v>
      </c>
      <c r="L108" s="15">
        <f t="shared" si="5"/>
        <v>4.5254629629629561E-2</v>
      </c>
      <c r="M108">
        <f t="shared" si="6"/>
        <v>10</v>
      </c>
    </row>
    <row r="109" spans="1:13" x14ac:dyDescent="0.3">
      <c r="A109" s="1"/>
      <c r="B109" s="1"/>
      <c r="C109" s="9" t="s">
        <v>322</v>
      </c>
      <c r="D109" s="9" t="s">
        <v>323</v>
      </c>
      <c r="E109" s="9" t="s">
        <v>323</v>
      </c>
      <c r="F109" s="9" t="s">
        <v>22</v>
      </c>
      <c r="G109" s="11" t="s">
        <v>19</v>
      </c>
      <c r="H109" s="2"/>
      <c r="I109" s="7"/>
      <c r="J109" s="4"/>
      <c r="K109" s="12"/>
    </row>
    <row r="110" spans="1:13" x14ac:dyDescent="0.3">
      <c r="A110" s="1"/>
      <c r="B110" s="1"/>
      <c r="C110" s="1"/>
      <c r="D110" s="1"/>
      <c r="E110" s="1"/>
      <c r="F110" s="1"/>
      <c r="G110" s="9" t="s">
        <v>735</v>
      </c>
      <c r="H110" s="9" t="s">
        <v>119</v>
      </c>
      <c r="I110" s="9" t="s">
        <v>486</v>
      </c>
      <c r="J110" s="3" t="s">
        <v>736</v>
      </c>
      <c r="K110" s="13" t="s">
        <v>737</v>
      </c>
      <c r="L110" s="15">
        <f t="shared" si="5"/>
        <v>4.2962962962962925E-2</v>
      </c>
      <c r="M110">
        <f t="shared" si="6"/>
        <v>10</v>
      </c>
    </row>
    <row r="111" spans="1:13" x14ac:dyDescent="0.3">
      <c r="A111" s="1"/>
      <c r="B111" s="1"/>
      <c r="C111" s="1"/>
      <c r="D111" s="1"/>
      <c r="E111" s="1"/>
      <c r="F111" s="1"/>
      <c r="G111" s="9" t="s">
        <v>738</v>
      </c>
      <c r="H111" s="9" t="s">
        <v>119</v>
      </c>
      <c r="I111" s="9" t="s">
        <v>486</v>
      </c>
      <c r="J111" s="3" t="s">
        <v>739</v>
      </c>
      <c r="K111" s="13" t="s">
        <v>740</v>
      </c>
      <c r="L111" s="15">
        <f t="shared" si="5"/>
        <v>3.5844907407407423E-2</v>
      </c>
      <c r="M111">
        <f t="shared" si="6"/>
        <v>14</v>
      </c>
    </row>
    <row r="112" spans="1:13" x14ac:dyDescent="0.3">
      <c r="A112" s="1"/>
      <c r="B112" s="1"/>
      <c r="C112" s="1"/>
      <c r="D112" s="1"/>
      <c r="E112" s="1"/>
      <c r="F112" s="1"/>
      <c r="G112" s="9" t="s">
        <v>741</v>
      </c>
      <c r="H112" s="9" t="s">
        <v>119</v>
      </c>
      <c r="I112" s="9" t="s">
        <v>486</v>
      </c>
      <c r="J112" s="3" t="s">
        <v>742</v>
      </c>
      <c r="K112" s="13" t="s">
        <v>743</v>
      </c>
      <c r="L112" s="15">
        <f t="shared" si="5"/>
        <v>2.1817129629629672E-2</v>
      </c>
      <c r="M112">
        <f t="shared" si="6"/>
        <v>14</v>
      </c>
    </row>
    <row r="113" spans="1:15" x14ac:dyDescent="0.3">
      <c r="A113" s="1"/>
      <c r="B113" s="1"/>
      <c r="C113" s="1"/>
      <c r="D113" s="1"/>
      <c r="E113" s="1"/>
      <c r="F113" s="1"/>
      <c r="G113" s="9" t="s">
        <v>744</v>
      </c>
      <c r="H113" s="9" t="s">
        <v>119</v>
      </c>
      <c r="I113" s="9" t="s">
        <v>486</v>
      </c>
      <c r="J113" s="3" t="s">
        <v>745</v>
      </c>
      <c r="K113" s="13" t="s">
        <v>746</v>
      </c>
      <c r="L113" s="15">
        <f t="shared" si="5"/>
        <v>1.8715277777777928E-2</v>
      </c>
      <c r="M113">
        <f t="shared" si="6"/>
        <v>15</v>
      </c>
    </row>
    <row r="114" spans="1:15" x14ac:dyDescent="0.3">
      <c r="A114" s="1"/>
      <c r="B114" s="1"/>
      <c r="C114" s="9" t="s">
        <v>93</v>
      </c>
      <c r="D114" s="9" t="s">
        <v>94</v>
      </c>
      <c r="E114" s="11" t="s">
        <v>19</v>
      </c>
      <c r="F114" s="2"/>
      <c r="G114" s="2"/>
      <c r="H114" s="2"/>
      <c r="I114" s="7"/>
      <c r="J114" s="4"/>
      <c r="K114" s="12"/>
    </row>
    <row r="115" spans="1:15" x14ac:dyDescent="0.3">
      <c r="A115" s="1"/>
      <c r="B115" s="1"/>
      <c r="C115" s="1"/>
      <c r="D115" s="1"/>
      <c r="E115" s="9" t="s">
        <v>94</v>
      </c>
      <c r="F115" s="9" t="s">
        <v>22</v>
      </c>
      <c r="G115" s="9" t="s">
        <v>747</v>
      </c>
      <c r="H115" s="9" t="s">
        <v>119</v>
      </c>
      <c r="I115" s="9" t="s">
        <v>486</v>
      </c>
      <c r="J115" s="3" t="s">
        <v>748</v>
      </c>
      <c r="K115" s="13" t="s">
        <v>749</v>
      </c>
      <c r="L115" s="15">
        <f t="shared" si="5"/>
        <v>1.7395833333333333E-2</v>
      </c>
      <c r="M115">
        <f t="shared" si="6"/>
        <v>4</v>
      </c>
    </row>
    <row r="116" spans="1:15" x14ac:dyDescent="0.3">
      <c r="A116" s="1"/>
      <c r="B116" s="1"/>
      <c r="C116" s="1"/>
      <c r="D116" s="1"/>
      <c r="E116" s="9" t="s">
        <v>164</v>
      </c>
      <c r="F116" s="9" t="s">
        <v>22</v>
      </c>
      <c r="G116" s="11" t="s">
        <v>19</v>
      </c>
      <c r="H116" s="2"/>
      <c r="I116" s="7"/>
      <c r="J116" s="4"/>
      <c r="K116" s="12"/>
    </row>
    <row r="117" spans="1:15" x14ac:dyDescent="0.3">
      <c r="A117" s="1"/>
      <c r="B117" s="1"/>
      <c r="C117" s="1"/>
      <c r="D117" s="1"/>
      <c r="E117" s="1"/>
      <c r="F117" s="1"/>
      <c r="G117" s="9" t="s">
        <v>750</v>
      </c>
      <c r="H117" s="9" t="s">
        <v>119</v>
      </c>
      <c r="I117" s="9" t="s">
        <v>486</v>
      </c>
      <c r="J117" s="3" t="s">
        <v>751</v>
      </c>
      <c r="K117" s="13" t="s">
        <v>752</v>
      </c>
      <c r="L117" s="15">
        <f t="shared" si="5"/>
        <v>2.5393518518518454E-2</v>
      </c>
      <c r="M117">
        <f t="shared" si="6"/>
        <v>6</v>
      </c>
    </row>
    <row r="118" spans="1:15" x14ac:dyDescent="0.3">
      <c r="A118" s="1"/>
      <c r="B118" s="1"/>
      <c r="C118" s="1"/>
      <c r="D118" s="1"/>
      <c r="E118" s="1"/>
      <c r="F118" s="1"/>
      <c r="G118" s="9" t="s">
        <v>753</v>
      </c>
      <c r="H118" s="9" t="s">
        <v>119</v>
      </c>
      <c r="I118" s="9" t="s">
        <v>486</v>
      </c>
      <c r="J118" s="3" t="s">
        <v>754</v>
      </c>
      <c r="K118" s="13" t="s">
        <v>755</v>
      </c>
      <c r="L118" s="15">
        <f t="shared" si="5"/>
        <v>1.5324074074074046E-2</v>
      </c>
      <c r="M118">
        <f t="shared" si="6"/>
        <v>10</v>
      </c>
    </row>
    <row r="119" spans="1:15" x14ac:dyDescent="0.3">
      <c r="A119" s="1"/>
      <c r="B119" s="1"/>
      <c r="C119" s="1"/>
      <c r="D119" s="1"/>
      <c r="E119" s="1"/>
      <c r="F119" s="1"/>
      <c r="G119" s="9" t="s">
        <v>756</v>
      </c>
      <c r="H119" s="9" t="s">
        <v>119</v>
      </c>
      <c r="I119" s="9" t="s">
        <v>486</v>
      </c>
      <c r="J119" s="3" t="s">
        <v>757</v>
      </c>
      <c r="K119" s="13" t="s">
        <v>758</v>
      </c>
      <c r="L119" s="15">
        <f t="shared" si="5"/>
        <v>1.0810185185185173E-2</v>
      </c>
      <c r="M119">
        <f t="shared" si="6"/>
        <v>11</v>
      </c>
      <c r="O119" s="25"/>
    </row>
    <row r="120" spans="1:15" x14ac:dyDescent="0.3">
      <c r="A120" s="1"/>
      <c r="B120" s="1"/>
      <c r="C120" s="9" t="s">
        <v>354</v>
      </c>
      <c r="D120" s="9" t="s">
        <v>355</v>
      </c>
      <c r="E120" s="9" t="s">
        <v>355</v>
      </c>
      <c r="F120" s="9" t="s">
        <v>22</v>
      </c>
      <c r="G120" s="11" t="s">
        <v>19</v>
      </c>
      <c r="H120" s="2"/>
      <c r="I120" s="7"/>
      <c r="J120" s="4"/>
      <c r="K120" s="12"/>
    </row>
    <row r="121" spans="1:15" x14ac:dyDescent="0.3">
      <c r="A121" s="1"/>
      <c r="B121" s="1"/>
      <c r="C121" s="1"/>
      <c r="D121" s="1"/>
      <c r="E121" s="1"/>
      <c r="F121" s="1"/>
      <c r="G121" s="9" t="s">
        <v>759</v>
      </c>
      <c r="H121" s="9" t="s">
        <v>119</v>
      </c>
      <c r="I121" s="9" t="s">
        <v>486</v>
      </c>
      <c r="J121" s="3" t="s">
        <v>760</v>
      </c>
      <c r="K121" s="13" t="s">
        <v>761</v>
      </c>
      <c r="L121" s="15">
        <f t="shared" si="5"/>
        <v>1.6435185185185719E-3</v>
      </c>
      <c r="M121">
        <f t="shared" si="6"/>
        <v>9</v>
      </c>
    </row>
    <row r="122" spans="1:15" x14ac:dyDescent="0.3">
      <c r="A122" s="1"/>
      <c r="B122" s="1"/>
      <c r="C122" s="1"/>
      <c r="D122" s="1"/>
      <c r="E122" s="1"/>
      <c r="F122" s="1"/>
      <c r="G122" s="9" t="s">
        <v>762</v>
      </c>
      <c r="H122" s="9" t="s">
        <v>119</v>
      </c>
      <c r="I122" s="9" t="s">
        <v>486</v>
      </c>
      <c r="J122" s="3" t="s">
        <v>763</v>
      </c>
      <c r="K122" s="13" t="s">
        <v>764</v>
      </c>
      <c r="L122" s="15">
        <f t="shared" si="5"/>
        <v>1.7002314814814845E-2</v>
      </c>
      <c r="M122">
        <f t="shared" si="6"/>
        <v>8</v>
      </c>
    </row>
    <row r="123" spans="1:15" x14ac:dyDescent="0.3">
      <c r="A123" s="1"/>
      <c r="B123" s="1"/>
      <c r="C123" s="1"/>
      <c r="D123" s="1"/>
      <c r="E123" s="1"/>
      <c r="F123" s="1"/>
      <c r="G123" s="9" t="s">
        <v>765</v>
      </c>
      <c r="H123" s="9" t="s">
        <v>119</v>
      </c>
      <c r="I123" s="9" t="s">
        <v>486</v>
      </c>
      <c r="J123" s="3" t="s">
        <v>766</v>
      </c>
      <c r="K123" s="13" t="s">
        <v>767</v>
      </c>
      <c r="L123" s="15">
        <f t="shared" si="5"/>
        <v>1.631944444444422E-3</v>
      </c>
      <c r="M123">
        <f t="shared" si="6"/>
        <v>9</v>
      </c>
    </row>
    <row r="124" spans="1:15" x14ac:dyDescent="0.3">
      <c r="A124" s="1"/>
      <c r="B124" s="1"/>
      <c r="C124" s="1"/>
      <c r="D124" s="1"/>
      <c r="E124" s="1"/>
      <c r="F124" s="1"/>
      <c r="G124" s="9" t="s">
        <v>768</v>
      </c>
      <c r="H124" s="9" t="s">
        <v>119</v>
      </c>
      <c r="I124" s="9" t="s">
        <v>486</v>
      </c>
      <c r="J124" s="3" t="s">
        <v>769</v>
      </c>
      <c r="K124" s="13" t="s">
        <v>770</v>
      </c>
      <c r="L124" s="15">
        <f t="shared" si="5"/>
        <v>1.7800925925925859E-2</v>
      </c>
      <c r="M124">
        <f t="shared" si="6"/>
        <v>9</v>
      </c>
    </row>
    <row r="125" spans="1:15" x14ac:dyDescent="0.3">
      <c r="A125" s="1"/>
      <c r="B125" s="1"/>
      <c r="C125" s="1"/>
      <c r="D125" s="1"/>
      <c r="E125" s="1"/>
      <c r="F125" s="1"/>
      <c r="G125" s="9" t="s">
        <v>771</v>
      </c>
      <c r="H125" s="9" t="s">
        <v>119</v>
      </c>
      <c r="I125" s="9" t="s">
        <v>486</v>
      </c>
      <c r="J125" s="3" t="s">
        <v>772</v>
      </c>
      <c r="K125" s="13" t="s">
        <v>773</v>
      </c>
      <c r="L125" s="15">
        <f t="shared" si="5"/>
        <v>5.1273148148148151E-2</v>
      </c>
      <c r="M125">
        <f t="shared" si="6"/>
        <v>10</v>
      </c>
    </row>
    <row r="126" spans="1:15" x14ac:dyDescent="0.3">
      <c r="A126" s="1"/>
      <c r="B126" s="1"/>
      <c r="C126" s="1"/>
      <c r="D126" s="1"/>
      <c r="E126" s="1"/>
      <c r="F126" s="1"/>
      <c r="G126" s="9" t="s">
        <v>774</v>
      </c>
      <c r="H126" s="9" t="s">
        <v>119</v>
      </c>
      <c r="I126" s="9" t="s">
        <v>486</v>
      </c>
      <c r="J126" s="3" t="s">
        <v>775</v>
      </c>
      <c r="K126" s="13" t="s">
        <v>776</v>
      </c>
      <c r="L126" s="15">
        <f t="shared" si="5"/>
        <v>1.1932870370370274E-2</v>
      </c>
      <c r="M126">
        <f t="shared" si="6"/>
        <v>23</v>
      </c>
    </row>
    <row r="127" spans="1:15" x14ac:dyDescent="0.3">
      <c r="A127" s="1"/>
      <c r="B127" s="1"/>
      <c r="C127" s="1"/>
      <c r="D127" s="1"/>
      <c r="E127" s="1"/>
      <c r="F127" s="1"/>
      <c r="G127" s="9" t="s">
        <v>777</v>
      </c>
      <c r="H127" s="9" t="s">
        <v>119</v>
      </c>
      <c r="I127" s="9" t="s">
        <v>486</v>
      </c>
      <c r="J127" s="3" t="s">
        <v>778</v>
      </c>
      <c r="K127" s="13" t="s">
        <v>779</v>
      </c>
      <c r="L127" s="15">
        <f t="shared" si="5"/>
        <v>1.2187500000000018E-2</v>
      </c>
      <c r="M127">
        <f t="shared" si="6"/>
        <v>15</v>
      </c>
    </row>
    <row r="128" spans="1:15" x14ac:dyDescent="0.3">
      <c r="A128" s="1"/>
      <c r="B128" s="1"/>
      <c r="C128" s="1"/>
      <c r="D128" s="1"/>
      <c r="E128" s="1"/>
      <c r="F128" s="1"/>
      <c r="G128" s="9" t="s">
        <v>780</v>
      </c>
      <c r="H128" s="9" t="s">
        <v>119</v>
      </c>
      <c r="I128" s="9" t="s">
        <v>486</v>
      </c>
      <c r="J128" s="3" t="s">
        <v>781</v>
      </c>
      <c r="K128" s="13" t="s">
        <v>782</v>
      </c>
      <c r="L128" s="15">
        <f t="shared" si="5"/>
        <v>2.1608796296296418E-2</v>
      </c>
      <c r="M128">
        <f t="shared" si="6"/>
        <v>17</v>
      </c>
    </row>
    <row r="129" spans="1:13" x14ac:dyDescent="0.3">
      <c r="A129" s="1"/>
      <c r="B129" s="1"/>
      <c r="C129" s="1"/>
      <c r="D129" s="1"/>
      <c r="E129" s="1"/>
      <c r="F129" s="1"/>
      <c r="G129" s="9" t="s">
        <v>783</v>
      </c>
      <c r="H129" s="9" t="s">
        <v>119</v>
      </c>
      <c r="I129" s="9" t="s">
        <v>486</v>
      </c>
      <c r="J129" s="3" t="s">
        <v>784</v>
      </c>
      <c r="K129" s="13" t="s">
        <v>785</v>
      </c>
      <c r="L129" s="15">
        <f t="shared" si="5"/>
        <v>1.5625E-2</v>
      </c>
      <c r="M129">
        <f t="shared" si="6"/>
        <v>20</v>
      </c>
    </row>
    <row r="130" spans="1:13" x14ac:dyDescent="0.3">
      <c r="A130" s="1"/>
      <c r="B130" s="1"/>
      <c r="C130" s="1"/>
      <c r="D130" s="1"/>
      <c r="E130" s="1"/>
      <c r="F130" s="1"/>
      <c r="G130" s="9" t="s">
        <v>786</v>
      </c>
      <c r="H130" s="9" t="s">
        <v>119</v>
      </c>
      <c r="I130" s="9" t="s">
        <v>486</v>
      </c>
      <c r="J130" s="3" t="s">
        <v>787</v>
      </c>
      <c r="K130" s="13" t="s">
        <v>788</v>
      </c>
      <c r="L130" s="15">
        <f t="shared" si="5"/>
        <v>1.8935185185185333E-2</v>
      </c>
      <c r="M130">
        <f t="shared" si="6"/>
        <v>23</v>
      </c>
    </row>
    <row r="131" spans="1:13" x14ac:dyDescent="0.3">
      <c r="A131" s="1"/>
      <c r="B131" s="1"/>
      <c r="C131" s="9" t="s">
        <v>177</v>
      </c>
      <c r="D131" s="9" t="s">
        <v>178</v>
      </c>
      <c r="E131" s="9" t="s">
        <v>178</v>
      </c>
      <c r="F131" s="9" t="s">
        <v>22</v>
      </c>
      <c r="G131" s="11" t="s">
        <v>19</v>
      </c>
      <c r="H131" s="2"/>
      <c r="I131" s="7"/>
      <c r="J131" s="4"/>
      <c r="K131" s="12"/>
    </row>
    <row r="132" spans="1:13" x14ac:dyDescent="0.3">
      <c r="A132" s="1"/>
      <c r="B132" s="1"/>
      <c r="C132" s="1"/>
      <c r="D132" s="1"/>
      <c r="E132" s="1"/>
      <c r="F132" s="1"/>
      <c r="G132" s="9" t="s">
        <v>789</v>
      </c>
      <c r="H132" s="9" t="s">
        <v>119</v>
      </c>
      <c r="I132" s="9" t="s">
        <v>486</v>
      </c>
      <c r="J132" s="3" t="s">
        <v>790</v>
      </c>
      <c r="K132" s="13" t="s">
        <v>791</v>
      </c>
      <c r="L132" s="15">
        <f t="shared" ref="L132:L181" si="7">K132-J132</f>
        <v>1.5694444444444455E-2</v>
      </c>
      <c r="M132">
        <f t="shared" ref="M132:M181" si="8">HOUR(J132)</f>
        <v>18</v>
      </c>
    </row>
    <row r="133" spans="1:13" x14ac:dyDescent="0.3">
      <c r="A133" s="1"/>
      <c r="B133" s="1"/>
      <c r="C133" s="1"/>
      <c r="D133" s="1"/>
      <c r="E133" s="1"/>
      <c r="F133" s="1"/>
      <c r="G133" s="9" t="s">
        <v>792</v>
      </c>
      <c r="H133" s="9" t="s">
        <v>119</v>
      </c>
      <c r="I133" s="9" t="s">
        <v>486</v>
      </c>
      <c r="J133" s="3" t="s">
        <v>793</v>
      </c>
      <c r="K133" s="13" t="s">
        <v>794</v>
      </c>
      <c r="L133" s="15">
        <f t="shared" si="7"/>
        <v>1.5972222222222276E-2</v>
      </c>
      <c r="M133">
        <f t="shared" si="8"/>
        <v>21</v>
      </c>
    </row>
    <row r="134" spans="1:13" x14ac:dyDescent="0.3">
      <c r="A134" s="1"/>
      <c r="B134" s="1"/>
      <c r="C134" s="9" t="s">
        <v>47</v>
      </c>
      <c r="D134" s="9" t="s">
        <v>48</v>
      </c>
      <c r="E134" s="9" t="s">
        <v>190</v>
      </c>
      <c r="F134" s="9" t="s">
        <v>22</v>
      </c>
      <c r="G134" s="9" t="s">
        <v>795</v>
      </c>
      <c r="H134" s="9" t="s">
        <v>192</v>
      </c>
      <c r="I134" s="9" t="s">
        <v>486</v>
      </c>
      <c r="J134" s="3" t="s">
        <v>796</v>
      </c>
      <c r="K134" s="13" t="s">
        <v>797</v>
      </c>
      <c r="L134" s="15">
        <f t="shared" si="7"/>
        <v>3.1342592592592589E-2</v>
      </c>
      <c r="M134">
        <f t="shared" si="8"/>
        <v>6</v>
      </c>
    </row>
    <row r="135" spans="1:13" x14ac:dyDescent="0.3">
      <c r="A135" s="1"/>
      <c r="B135" s="1"/>
      <c r="C135" s="9" t="s">
        <v>798</v>
      </c>
      <c r="D135" s="9" t="s">
        <v>799</v>
      </c>
      <c r="E135" s="9" t="s">
        <v>799</v>
      </c>
      <c r="F135" s="9" t="s">
        <v>22</v>
      </c>
      <c r="G135" s="9" t="s">
        <v>800</v>
      </c>
      <c r="H135" s="9" t="s">
        <v>119</v>
      </c>
      <c r="I135" s="9" t="s">
        <v>486</v>
      </c>
      <c r="J135" s="3" t="s">
        <v>801</v>
      </c>
      <c r="K135" s="13" t="s">
        <v>802</v>
      </c>
      <c r="L135" s="15">
        <f t="shared" si="7"/>
        <v>2.2118055555555571E-2</v>
      </c>
      <c r="M135">
        <f t="shared" si="8"/>
        <v>8</v>
      </c>
    </row>
    <row r="136" spans="1:13" x14ac:dyDescent="0.3">
      <c r="A136" s="1"/>
      <c r="B136" s="1"/>
      <c r="C136" s="9" t="s">
        <v>395</v>
      </c>
      <c r="D136" s="9" t="s">
        <v>396</v>
      </c>
      <c r="E136" s="9" t="s">
        <v>396</v>
      </c>
      <c r="F136" s="9" t="s">
        <v>22</v>
      </c>
      <c r="G136" s="9" t="s">
        <v>803</v>
      </c>
      <c r="H136" s="9" t="s">
        <v>119</v>
      </c>
      <c r="I136" s="9" t="s">
        <v>486</v>
      </c>
      <c r="J136" s="3" t="s">
        <v>804</v>
      </c>
      <c r="K136" s="13" t="s">
        <v>805</v>
      </c>
      <c r="L136" s="15">
        <f t="shared" si="7"/>
        <v>2.1840277777777861E-2</v>
      </c>
      <c r="M136">
        <f t="shared" si="8"/>
        <v>20</v>
      </c>
    </row>
    <row r="137" spans="1:13" x14ac:dyDescent="0.3">
      <c r="A137" s="1"/>
      <c r="B137" s="1"/>
      <c r="C137" s="9" t="s">
        <v>403</v>
      </c>
      <c r="D137" s="9" t="s">
        <v>404</v>
      </c>
      <c r="E137" s="9" t="s">
        <v>404</v>
      </c>
      <c r="F137" s="9" t="s">
        <v>22</v>
      </c>
      <c r="G137" s="9" t="s">
        <v>806</v>
      </c>
      <c r="H137" s="9" t="s">
        <v>119</v>
      </c>
      <c r="I137" s="9" t="s">
        <v>486</v>
      </c>
      <c r="J137" s="3" t="s">
        <v>807</v>
      </c>
      <c r="K137" s="13" t="s">
        <v>808</v>
      </c>
      <c r="L137" s="15">
        <f t="shared" si="7"/>
        <v>4.8055555555555463E-2</v>
      </c>
      <c r="M137">
        <f t="shared" si="8"/>
        <v>10</v>
      </c>
    </row>
    <row r="138" spans="1:13" x14ac:dyDescent="0.3">
      <c r="A138" s="1"/>
      <c r="B138" s="1"/>
      <c r="C138" s="9" t="s">
        <v>204</v>
      </c>
      <c r="D138" s="9" t="s">
        <v>205</v>
      </c>
      <c r="E138" s="9" t="s">
        <v>205</v>
      </c>
      <c r="F138" s="9" t="s">
        <v>22</v>
      </c>
      <c r="G138" s="11" t="s">
        <v>19</v>
      </c>
      <c r="H138" s="2"/>
      <c r="I138" s="7"/>
      <c r="J138" s="4"/>
      <c r="K138" s="12"/>
    </row>
    <row r="139" spans="1:13" x14ac:dyDescent="0.3">
      <c r="A139" s="1"/>
      <c r="B139" s="1"/>
      <c r="C139" s="1"/>
      <c r="D139" s="1"/>
      <c r="E139" s="1"/>
      <c r="F139" s="1"/>
      <c r="G139" s="9" t="s">
        <v>809</v>
      </c>
      <c r="H139" s="9" t="s">
        <v>119</v>
      </c>
      <c r="I139" s="9" t="s">
        <v>486</v>
      </c>
      <c r="J139" s="3" t="s">
        <v>810</v>
      </c>
      <c r="K139" s="13" t="s">
        <v>811</v>
      </c>
      <c r="L139" s="15">
        <f t="shared" si="7"/>
        <v>1.7627314814814804E-2</v>
      </c>
      <c r="M139">
        <f t="shared" si="8"/>
        <v>3</v>
      </c>
    </row>
    <row r="140" spans="1:13" x14ac:dyDescent="0.3">
      <c r="A140" s="1"/>
      <c r="B140" s="1"/>
      <c r="C140" s="1"/>
      <c r="D140" s="1"/>
      <c r="E140" s="1"/>
      <c r="F140" s="1"/>
      <c r="G140" s="9" t="s">
        <v>812</v>
      </c>
      <c r="H140" s="9" t="s">
        <v>119</v>
      </c>
      <c r="I140" s="9" t="s">
        <v>486</v>
      </c>
      <c r="J140" s="3" t="s">
        <v>813</v>
      </c>
      <c r="K140" s="13" t="s">
        <v>814</v>
      </c>
      <c r="L140" s="15">
        <f t="shared" si="7"/>
        <v>2.6921296296296304E-2</v>
      </c>
      <c r="M140">
        <f t="shared" si="8"/>
        <v>8</v>
      </c>
    </row>
    <row r="141" spans="1:13" x14ac:dyDescent="0.3">
      <c r="A141" s="9" t="s">
        <v>17</v>
      </c>
      <c r="B141" s="9" t="s">
        <v>18</v>
      </c>
      <c r="C141" s="11" t="s">
        <v>19</v>
      </c>
      <c r="D141" s="2">
        <v>2400</v>
      </c>
      <c r="E141" s="2"/>
      <c r="F141" s="2"/>
      <c r="G141" s="2"/>
      <c r="H141" s="2"/>
      <c r="I141" s="7"/>
      <c r="J141" s="4"/>
      <c r="K141" s="12"/>
    </row>
    <row r="142" spans="1:13" x14ac:dyDescent="0.3">
      <c r="A142" s="1"/>
      <c r="B142" s="1"/>
      <c r="C142" s="9" t="s">
        <v>20</v>
      </c>
      <c r="D142" s="9" t="s">
        <v>21</v>
      </c>
      <c r="E142" s="9" t="s">
        <v>21</v>
      </c>
      <c r="F142" s="9" t="s">
        <v>22</v>
      </c>
      <c r="G142" s="11" t="s">
        <v>19</v>
      </c>
      <c r="H142" s="2"/>
      <c r="I142" s="7"/>
      <c r="J142" s="4"/>
      <c r="K142" s="12"/>
    </row>
    <row r="143" spans="1:13" x14ac:dyDescent="0.3">
      <c r="A143" s="1"/>
      <c r="B143" s="1"/>
      <c r="C143" s="1"/>
      <c r="D143" s="1"/>
      <c r="E143" s="1"/>
      <c r="F143" s="1"/>
      <c r="G143" s="9" t="s">
        <v>815</v>
      </c>
      <c r="H143" s="9" t="s">
        <v>24</v>
      </c>
      <c r="I143" s="9" t="s">
        <v>486</v>
      </c>
      <c r="J143" s="3" t="s">
        <v>816</v>
      </c>
      <c r="K143" s="13" t="s">
        <v>817</v>
      </c>
      <c r="L143" s="15">
        <f t="shared" si="7"/>
        <v>2.8298611111111094E-2</v>
      </c>
      <c r="M143">
        <f t="shared" si="8"/>
        <v>7</v>
      </c>
    </row>
    <row r="144" spans="1:13" x14ac:dyDescent="0.3">
      <c r="A144" s="1"/>
      <c r="B144" s="1"/>
      <c r="C144" s="1"/>
      <c r="D144" s="1"/>
      <c r="E144" s="1"/>
      <c r="F144" s="1"/>
      <c r="G144" s="9" t="s">
        <v>818</v>
      </c>
      <c r="H144" s="9" t="s">
        <v>24</v>
      </c>
      <c r="I144" s="9" t="s">
        <v>486</v>
      </c>
      <c r="J144" s="3" t="s">
        <v>819</v>
      </c>
      <c r="K144" s="13" t="s">
        <v>820</v>
      </c>
      <c r="L144" s="15">
        <f t="shared" si="7"/>
        <v>3.543981481481473E-2</v>
      </c>
      <c r="M144">
        <f t="shared" si="8"/>
        <v>14</v>
      </c>
    </row>
    <row r="145" spans="1:13" x14ac:dyDescent="0.3">
      <c r="A145" s="1"/>
      <c r="B145" s="1"/>
      <c r="C145" s="9" t="s">
        <v>31</v>
      </c>
      <c r="D145" s="9" t="s">
        <v>32</v>
      </c>
      <c r="E145" s="9" t="s">
        <v>32</v>
      </c>
      <c r="F145" s="9" t="s">
        <v>22</v>
      </c>
      <c r="G145" s="9" t="s">
        <v>821</v>
      </c>
      <c r="H145" s="9" t="s">
        <v>39</v>
      </c>
      <c r="I145" s="9" t="s">
        <v>486</v>
      </c>
      <c r="J145" s="3" t="s">
        <v>822</v>
      </c>
      <c r="K145" s="13" t="s">
        <v>823</v>
      </c>
      <c r="L145" s="15">
        <f t="shared" si="7"/>
        <v>2.3171296296296329E-2</v>
      </c>
      <c r="M145">
        <f t="shared" si="8"/>
        <v>17</v>
      </c>
    </row>
    <row r="146" spans="1:13" x14ac:dyDescent="0.3">
      <c r="A146" s="1"/>
      <c r="B146" s="1"/>
      <c r="C146" s="9" t="s">
        <v>824</v>
      </c>
      <c r="D146" s="9" t="s">
        <v>825</v>
      </c>
      <c r="E146" s="9" t="s">
        <v>825</v>
      </c>
      <c r="F146" s="9" t="s">
        <v>22</v>
      </c>
      <c r="G146" s="9" t="s">
        <v>826</v>
      </c>
      <c r="H146" s="9" t="s">
        <v>24</v>
      </c>
      <c r="I146" s="9" t="s">
        <v>486</v>
      </c>
      <c r="J146" s="3" t="s">
        <v>827</v>
      </c>
      <c r="K146" s="13" t="s">
        <v>828</v>
      </c>
      <c r="L146" s="15">
        <f t="shared" si="7"/>
        <v>1.7037037037036962E-2</v>
      </c>
      <c r="M146">
        <f t="shared" si="8"/>
        <v>15</v>
      </c>
    </row>
    <row r="147" spans="1:13" x14ac:dyDescent="0.3">
      <c r="A147" s="1"/>
      <c r="B147" s="1"/>
      <c r="C147" s="9" t="s">
        <v>47</v>
      </c>
      <c r="D147" s="9" t="s">
        <v>48</v>
      </c>
      <c r="E147" s="9" t="s">
        <v>48</v>
      </c>
      <c r="F147" s="9" t="s">
        <v>22</v>
      </c>
      <c r="G147" s="11" t="s">
        <v>19</v>
      </c>
      <c r="H147" s="2"/>
      <c r="I147" s="7"/>
      <c r="J147" s="4"/>
      <c r="K147" s="12"/>
    </row>
    <row r="148" spans="1:13" x14ac:dyDescent="0.3">
      <c r="A148" s="1"/>
      <c r="B148" s="1"/>
      <c r="C148" s="1"/>
      <c r="D148" s="1"/>
      <c r="E148" s="1"/>
      <c r="F148" s="1"/>
      <c r="G148" s="9" t="s">
        <v>829</v>
      </c>
      <c r="H148" s="9" t="s">
        <v>39</v>
      </c>
      <c r="I148" s="9" t="s">
        <v>486</v>
      </c>
      <c r="J148" s="3" t="s">
        <v>830</v>
      </c>
      <c r="K148" s="13" t="s">
        <v>831</v>
      </c>
      <c r="L148" s="15">
        <f t="shared" si="7"/>
        <v>1.9131944444444438E-2</v>
      </c>
      <c r="M148">
        <f t="shared" si="8"/>
        <v>8</v>
      </c>
    </row>
    <row r="149" spans="1:13" x14ac:dyDescent="0.3">
      <c r="A149" s="1"/>
      <c r="B149" s="1"/>
      <c r="C149" s="1"/>
      <c r="D149" s="1"/>
      <c r="E149" s="1"/>
      <c r="F149" s="1"/>
      <c r="G149" s="9" t="s">
        <v>832</v>
      </c>
      <c r="H149" s="9" t="s">
        <v>39</v>
      </c>
      <c r="I149" s="9" t="s">
        <v>486</v>
      </c>
      <c r="J149" s="3" t="s">
        <v>833</v>
      </c>
      <c r="K149" s="13" t="s">
        <v>834</v>
      </c>
      <c r="L149" s="15">
        <f t="shared" si="7"/>
        <v>2.9606481481481484E-2</v>
      </c>
      <c r="M149">
        <f t="shared" si="8"/>
        <v>12</v>
      </c>
    </row>
    <row r="150" spans="1:13" x14ac:dyDescent="0.3">
      <c r="A150" s="1"/>
      <c r="B150" s="1"/>
      <c r="C150" s="1"/>
      <c r="D150" s="1"/>
      <c r="E150" s="1"/>
      <c r="F150" s="1"/>
      <c r="G150" s="9" t="s">
        <v>835</v>
      </c>
      <c r="H150" s="9" t="s">
        <v>39</v>
      </c>
      <c r="I150" s="9" t="s">
        <v>486</v>
      </c>
      <c r="J150" s="3" t="s">
        <v>836</v>
      </c>
      <c r="K150" s="13" t="s">
        <v>837</v>
      </c>
      <c r="L150" s="15">
        <f t="shared" si="7"/>
        <v>4.1006944444444526E-2</v>
      </c>
      <c r="M150">
        <f t="shared" si="8"/>
        <v>16</v>
      </c>
    </row>
    <row r="151" spans="1:13" x14ac:dyDescent="0.3">
      <c r="A151" s="1"/>
      <c r="B151" s="1"/>
      <c r="C151" s="1"/>
      <c r="D151" s="1"/>
      <c r="E151" s="1"/>
      <c r="F151" s="1"/>
      <c r="G151" s="9" t="s">
        <v>838</v>
      </c>
      <c r="H151" s="9" t="s">
        <v>39</v>
      </c>
      <c r="I151" s="9" t="s">
        <v>486</v>
      </c>
      <c r="J151" s="3" t="s">
        <v>839</v>
      </c>
      <c r="K151" s="13" t="s">
        <v>840</v>
      </c>
      <c r="L151" s="15">
        <f t="shared" si="7"/>
        <v>2.445601851851853E-2</v>
      </c>
      <c r="M151">
        <f t="shared" si="8"/>
        <v>17</v>
      </c>
    </row>
    <row r="152" spans="1:13" x14ac:dyDescent="0.3">
      <c r="A152" s="1"/>
      <c r="B152" s="1"/>
      <c r="C152" s="9" t="s">
        <v>841</v>
      </c>
      <c r="D152" s="9" t="s">
        <v>842</v>
      </c>
      <c r="E152" s="9" t="s">
        <v>842</v>
      </c>
      <c r="F152" s="9" t="s">
        <v>22</v>
      </c>
      <c r="G152" s="9" t="s">
        <v>843</v>
      </c>
      <c r="H152" s="9" t="s">
        <v>39</v>
      </c>
      <c r="I152" s="9" t="s">
        <v>486</v>
      </c>
      <c r="J152" s="3" t="s">
        <v>844</v>
      </c>
      <c r="K152" s="13" t="s">
        <v>845</v>
      </c>
      <c r="L152" s="15">
        <f t="shared" si="7"/>
        <v>1.9212962962962932E-2</v>
      </c>
      <c r="M152">
        <f t="shared" si="8"/>
        <v>8</v>
      </c>
    </row>
    <row r="153" spans="1:13" x14ac:dyDescent="0.3">
      <c r="A153" s="9" t="s">
        <v>414</v>
      </c>
      <c r="B153" s="9" t="s">
        <v>415</v>
      </c>
      <c r="C153" s="9" t="s">
        <v>846</v>
      </c>
      <c r="D153" s="9" t="s">
        <v>847</v>
      </c>
      <c r="E153" s="9" t="s">
        <v>847</v>
      </c>
      <c r="F153" s="9" t="s">
        <v>418</v>
      </c>
      <c r="G153" s="9" t="s">
        <v>848</v>
      </c>
      <c r="H153" s="9" t="s">
        <v>119</v>
      </c>
      <c r="I153" s="9" t="s">
        <v>486</v>
      </c>
      <c r="J153" s="3" t="s">
        <v>849</v>
      </c>
      <c r="K153" s="13" t="s">
        <v>850</v>
      </c>
      <c r="L153" s="15">
        <f t="shared" si="7"/>
        <v>3.5092592592592564E-2</v>
      </c>
      <c r="M153">
        <f t="shared" si="8"/>
        <v>14</v>
      </c>
    </row>
    <row r="154" spans="1:13" x14ac:dyDescent="0.3">
      <c r="A154" s="9" t="s">
        <v>427</v>
      </c>
      <c r="B154" s="9" t="s">
        <v>428</v>
      </c>
      <c r="C154" s="11" t="s">
        <v>19</v>
      </c>
      <c r="D154" s="2">
        <v>2400</v>
      </c>
      <c r="E154" s="2"/>
      <c r="F154" s="2"/>
      <c r="G154" s="2"/>
      <c r="H154" s="2"/>
      <c r="I154" s="7"/>
      <c r="J154" s="4"/>
      <c r="K154" s="12"/>
    </row>
    <row r="155" spans="1:13" x14ac:dyDescent="0.3">
      <c r="A155" s="1"/>
      <c r="B155" s="1"/>
      <c r="C155" s="9" t="s">
        <v>466</v>
      </c>
      <c r="D155" s="9" t="s">
        <v>467</v>
      </c>
      <c r="E155" s="9" t="s">
        <v>468</v>
      </c>
      <c r="F155" s="9" t="s">
        <v>22</v>
      </c>
      <c r="G155" s="11" t="s">
        <v>19</v>
      </c>
      <c r="H155" s="2"/>
      <c r="I155" s="7"/>
      <c r="J155" s="4"/>
      <c r="K155" s="12"/>
    </row>
    <row r="156" spans="1:13" x14ac:dyDescent="0.3">
      <c r="A156" s="1"/>
      <c r="B156" s="1"/>
      <c r="C156" s="1"/>
      <c r="D156" s="1"/>
      <c r="E156" s="1"/>
      <c r="F156" s="1"/>
      <c r="G156" s="9" t="s">
        <v>851</v>
      </c>
      <c r="H156" s="9" t="s">
        <v>119</v>
      </c>
      <c r="I156" s="9" t="s">
        <v>486</v>
      </c>
      <c r="J156" s="3" t="s">
        <v>852</v>
      </c>
      <c r="K156" s="13" t="s">
        <v>853</v>
      </c>
      <c r="L156" s="15">
        <f t="shared" si="7"/>
        <v>2.604166666666663E-2</v>
      </c>
      <c r="M156">
        <f t="shared" si="8"/>
        <v>8</v>
      </c>
    </row>
    <row r="157" spans="1:13" x14ac:dyDescent="0.3">
      <c r="A157" s="1"/>
      <c r="B157" s="1"/>
      <c r="C157" s="1"/>
      <c r="D157" s="1"/>
      <c r="E157" s="1"/>
      <c r="F157" s="1"/>
      <c r="G157" s="9" t="s">
        <v>854</v>
      </c>
      <c r="H157" s="9" t="s">
        <v>119</v>
      </c>
      <c r="I157" s="9" t="s">
        <v>486</v>
      </c>
      <c r="J157" s="3" t="s">
        <v>855</v>
      </c>
      <c r="K157" s="13" t="s">
        <v>856</v>
      </c>
      <c r="L157" s="15">
        <f t="shared" si="7"/>
        <v>5.4224537037037002E-2</v>
      </c>
      <c r="M157">
        <f t="shared" si="8"/>
        <v>11</v>
      </c>
    </row>
    <row r="158" spans="1:13" x14ac:dyDescent="0.3">
      <c r="A158" s="1"/>
      <c r="B158" s="1"/>
      <c r="C158" s="9" t="s">
        <v>857</v>
      </c>
      <c r="D158" s="9" t="s">
        <v>858</v>
      </c>
      <c r="E158" s="9" t="s">
        <v>859</v>
      </c>
      <c r="F158" s="9" t="s">
        <v>22</v>
      </c>
      <c r="G158" s="9" t="s">
        <v>860</v>
      </c>
      <c r="H158" s="9" t="s">
        <v>119</v>
      </c>
      <c r="I158" s="9" t="s">
        <v>486</v>
      </c>
      <c r="J158" s="3" t="s">
        <v>861</v>
      </c>
      <c r="K158" s="13" t="s">
        <v>862</v>
      </c>
      <c r="L158" s="15">
        <f t="shared" si="7"/>
        <v>3.7291666666666612E-2</v>
      </c>
      <c r="M158">
        <f t="shared" si="8"/>
        <v>12</v>
      </c>
    </row>
    <row r="159" spans="1:13" x14ac:dyDescent="0.3">
      <c r="A159" s="1"/>
      <c r="B159" s="1"/>
      <c r="C159" s="9" t="s">
        <v>429</v>
      </c>
      <c r="D159" s="9" t="s">
        <v>430</v>
      </c>
      <c r="E159" s="9" t="s">
        <v>430</v>
      </c>
      <c r="F159" s="9" t="s">
        <v>22</v>
      </c>
      <c r="G159" s="11" t="s">
        <v>19</v>
      </c>
      <c r="H159" s="2"/>
      <c r="I159" s="7"/>
      <c r="J159" s="4"/>
      <c r="K159" s="12"/>
    </row>
    <row r="160" spans="1:13" x14ac:dyDescent="0.3">
      <c r="A160" s="1"/>
      <c r="B160" s="1"/>
      <c r="C160" s="1"/>
      <c r="D160" s="1"/>
      <c r="E160" s="1"/>
      <c r="F160" s="1"/>
      <c r="G160" s="9" t="s">
        <v>863</v>
      </c>
      <c r="H160" s="9" t="s">
        <v>119</v>
      </c>
      <c r="I160" s="9" t="s">
        <v>486</v>
      </c>
      <c r="J160" s="3" t="s">
        <v>864</v>
      </c>
      <c r="K160" s="13" t="s">
        <v>865</v>
      </c>
      <c r="L160" s="15">
        <f t="shared" si="7"/>
        <v>1.6412037037037031E-2</v>
      </c>
      <c r="M160">
        <f t="shared" si="8"/>
        <v>7</v>
      </c>
    </row>
    <row r="161" spans="1:13" x14ac:dyDescent="0.3">
      <c r="A161" s="1"/>
      <c r="B161" s="1"/>
      <c r="C161" s="1"/>
      <c r="D161" s="1"/>
      <c r="E161" s="1"/>
      <c r="F161" s="1"/>
      <c r="G161" s="9" t="s">
        <v>866</v>
      </c>
      <c r="H161" s="9" t="s">
        <v>119</v>
      </c>
      <c r="I161" s="9" t="s">
        <v>486</v>
      </c>
      <c r="J161" s="3" t="s">
        <v>867</v>
      </c>
      <c r="K161" s="13" t="s">
        <v>868</v>
      </c>
      <c r="L161" s="15">
        <f t="shared" si="7"/>
        <v>2.163194444444444E-2</v>
      </c>
      <c r="M161">
        <f t="shared" si="8"/>
        <v>10</v>
      </c>
    </row>
    <row r="162" spans="1:13" x14ac:dyDescent="0.3">
      <c r="A162" s="1"/>
      <c r="B162" s="1"/>
      <c r="C162" s="1"/>
      <c r="D162" s="1"/>
      <c r="E162" s="1"/>
      <c r="F162" s="1"/>
      <c r="G162" s="9" t="s">
        <v>869</v>
      </c>
      <c r="H162" s="9" t="s">
        <v>119</v>
      </c>
      <c r="I162" s="9" t="s">
        <v>486</v>
      </c>
      <c r="J162" s="3" t="s">
        <v>870</v>
      </c>
      <c r="K162" s="13" t="s">
        <v>871</v>
      </c>
      <c r="L162" s="15">
        <f t="shared" si="7"/>
        <v>3.58912037037038E-2</v>
      </c>
      <c r="M162">
        <f t="shared" si="8"/>
        <v>12</v>
      </c>
    </row>
    <row r="163" spans="1:13" x14ac:dyDescent="0.3">
      <c r="A163" s="1"/>
      <c r="B163" s="1"/>
      <c r="C163" s="9" t="s">
        <v>437</v>
      </c>
      <c r="D163" s="9" t="s">
        <v>438</v>
      </c>
      <c r="E163" s="9" t="s">
        <v>439</v>
      </c>
      <c r="F163" s="9" t="s">
        <v>22</v>
      </c>
      <c r="G163" s="11" t="s">
        <v>19</v>
      </c>
      <c r="H163" s="2"/>
      <c r="I163" s="7"/>
      <c r="J163" s="4"/>
      <c r="K163" s="12"/>
    </row>
    <row r="164" spans="1:13" x14ac:dyDescent="0.3">
      <c r="A164" s="1"/>
      <c r="B164" s="1"/>
      <c r="C164" s="1"/>
      <c r="D164" s="1"/>
      <c r="E164" s="1"/>
      <c r="F164" s="1"/>
      <c r="G164" s="9" t="s">
        <v>872</v>
      </c>
      <c r="H164" s="9" t="s">
        <v>119</v>
      </c>
      <c r="I164" s="9" t="s">
        <v>486</v>
      </c>
      <c r="J164" s="3" t="s">
        <v>873</v>
      </c>
      <c r="K164" s="13" t="s">
        <v>874</v>
      </c>
      <c r="L164" s="15">
        <f t="shared" si="7"/>
        <v>1.4884259259259264E-2</v>
      </c>
      <c r="M164">
        <f t="shared" si="8"/>
        <v>5</v>
      </c>
    </row>
    <row r="165" spans="1:13" x14ac:dyDescent="0.3">
      <c r="A165" s="1"/>
      <c r="B165" s="1"/>
      <c r="C165" s="1"/>
      <c r="D165" s="1"/>
      <c r="E165" s="1"/>
      <c r="F165" s="1"/>
      <c r="G165" s="9" t="s">
        <v>875</v>
      </c>
      <c r="H165" s="9" t="s">
        <v>119</v>
      </c>
      <c r="I165" s="9" t="s">
        <v>486</v>
      </c>
      <c r="J165" s="3" t="s">
        <v>876</v>
      </c>
      <c r="K165" s="13" t="s">
        <v>877</v>
      </c>
      <c r="L165" s="15">
        <f t="shared" si="7"/>
        <v>2.1400462962962996E-2</v>
      </c>
      <c r="M165">
        <f t="shared" si="8"/>
        <v>7</v>
      </c>
    </row>
    <row r="166" spans="1:13" x14ac:dyDescent="0.3">
      <c r="A166" s="1"/>
      <c r="B166" s="1"/>
      <c r="C166" s="9" t="s">
        <v>452</v>
      </c>
      <c r="D166" s="9" t="s">
        <v>453</v>
      </c>
      <c r="E166" s="9" t="s">
        <v>454</v>
      </c>
      <c r="F166" s="9" t="s">
        <v>22</v>
      </c>
      <c r="G166" s="11" t="s">
        <v>19</v>
      </c>
      <c r="H166" s="2"/>
      <c r="I166" s="7"/>
      <c r="J166" s="4"/>
      <c r="K166" s="12"/>
    </row>
    <row r="167" spans="1:13" x14ac:dyDescent="0.3">
      <c r="A167" s="1"/>
      <c r="B167" s="1"/>
      <c r="C167" s="1"/>
      <c r="D167" s="1"/>
      <c r="E167" s="1"/>
      <c r="F167" s="1"/>
      <c r="G167" s="9" t="s">
        <v>878</v>
      </c>
      <c r="H167" s="9" t="s">
        <v>119</v>
      </c>
      <c r="I167" s="9" t="s">
        <v>486</v>
      </c>
      <c r="J167" s="3" t="s">
        <v>879</v>
      </c>
      <c r="K167" s="13" t="s">
        <v>880</v>
      </c>
      <c r="L167" s="15">
        <f t="shared" si="7"/>
        <v>3.4039351851851807E-2</v>
      </c>
      <c r="M167">
        <f t="shared" si="8"/>
        <v>14</v>
      </c>
    </row>
    <row r="168" spans="1:13" x14ac:dyDescent="0.3">
      <c r="A168" s="1"/>
      <c r="B168" s="1"/>
      <c r="C168" s="1"/>
      <c r="D168" s="1"/>
      <c r="E168" s="1"/>
      <c r="F168" s="1"/>
      <c r="G168" s="9" t="s">
        <v>881</v>
      </c>
      <c r="H168" s="9" t="s">
        <v>119</v>
      </c>
      <c r="I168" s="9" t="s">
        <v>486</v>
      </c>
      <c r="J168" s="3" t="s">
        <v>882</v>
      </c>
      <c r="K168" s="13" t="s">
        <v>883</v>
      </c>
      <c r="L168" s="15">
        <f t="shared" si="7"/>
        <v>1.2581018518518561E-2</v>
      </c>
      <c r="M168">
        <f t="shared" si="8"/>
        <v>16</v>
      </c>
    </row>
    <row r="169" spans="1:13" x14ac:dyDescent="0.3">
      <c r="A169" s="9" t="s">
        <v>464</v>
      </c>
      <c r="B169" s="9" t="s">
        <v>465</v>
      </c>
      <c r="C169" s="11" t="s">
        <v>19</v>
      </c>
      <c r="D169" s="2">
        <v>2400</v>
      </c>
      <c r="E169" s="2"/>
      <c r="F169" s="2"/>
      <c r="G169" s="2"/>
      <c r="H169" s="2"/>
      <c r="I169" s="7"/>
      <c r="J169" s="4"/>
      <c r="K169" s="12"/>
    </row>
    <row r="170" spans="1:13" x14ac:dyDescent="0.3">
      <c r="A170" s="1"/>
      <c r="B170" s="1"/>
      <c r="C170" s="9" t="s">
        <v>466</v>
      </c>
      <c r="D170" s="9" t="s">
        <v>467</v>
      </c>
      <c r="E170" s="9" t="s">
        <v>468</v>
      </c>
      <c r="F170" s="9" t="s">
        <v>22</v>
      </c>
      <c r="G170" s="11" t="s">
        <v>19</v>
      </c>
      <c r="H170" s="2"/>
      <c r="I170" s="7"/>
      <c r="J170" s="4"/>
      <c r="K170" s="12"/>
    </row>
    <row r="171" spans="1:13" x14ac:dyDescent="0.3">
      <c r="A171" s="1"/>
      <c r="B171" s="1"/>
      <c r="C171" s="1"/>
      <c r="D171" s="1"/>
      <c r="E171" s="1"/>
      <c r="F171" s="1"/>
      <c r="G171" s="9" t="s">
        <v>884</v>
      </c>
      <c r="H171" s="9" t="s">
        <v>39</v>
      </c>
      <c r="I171" s="9" t="s">
        <v>486</v>
      </c>
      <c r="J171" s="3" t="s">
        <v>885</v>
      </c>
      <c r="K171" s="13" t="s">
        <v>886</v>
      </c>
      <c r="L171" s="15">
        <f t="shared" si="7"/>
        <v>1.4629629629629631E-2</v>
      </c>
      <c r="M171">
        <f t="shared" si="8"/>
        <v>1</v>
      </c>
    </row>
    <row r="172" spans="1:13" x14ac:dyDescent="0.3">
      <c r="A172" s="1"/>
      <c r="B172" s="1"/>
      <c r="C172" s="1"/>
      <c r="D172" s="1"/>
      <c r="E172" s="1"/>
      <c r="F172" s="1"/>
      <c r="G172" s="9" t="s">
        <v>887</v>
      </c>
      <c r="H172" s="9" t="s">
        <v>39</v>
      </c>
      <c r="I172" s="9" t="s">
        <v>486</v>
      </c>
      <c r="J172" s="3" t="s">
        <v>888</v>
      </c>
      <c r="K172" s="13" t="s">
        <v>889</v>
      </c>
      <c r="L172" s="15">
        <f t="shared" si="7"/>
        <v>1.4618055555555537E-2</v>
      </c>
      <c r="M172">
        <f t="shared" si="8"/>
        <v>5</v>
      </c>
    </row>
    <row r="173" spans="1:13" x14ac:dyDescent="0.3">
      <c r="A173" s="1"/>
      <c r="B173" s="1"/>
      <c r="C173" s="9" t="s">
        <v>475</v>
      </c>
      <c r="D173" s="9" t="s">
        <v>476</v>
      </c>
      <c r="E173" s="9" t="s">
        <v>477</v>
      </c>
      <c r="F173" s="9" t="s">
        <v>22</v>
      </c>
      <c r="G173" s="11" t="s">
        <v>19</v>
      </c>
      <c r="H173" s="2"/>
      <c r="I173" s="7"/>
      <c r="J173" s="4"/>
      <c r="K173" s="12"/>
    </row>
    <row r="174" spans="1:13" x14ac:dyDescent="0.3">
      <c r="A174" s="1"/>
      <c r="B174" s="1"/>
      <c r="C174" s="1"/>
      <c r="D174" s="1"/>
      <c r="E174" s="1"/>
      <c r="F174" s="1"/>
      <c r="G174" s="9" t="s">
        <v>890</v>
      </c>
      <c r="H174" s="9" t="s">
        <v>39</v>
      </c>
      <c r="I174" s="9" t="s">
        <v>486</v>
      </c>
      <c r="J174" s="3" t="s">
        <v>891</v>
      </c>
      <c r="K174" s="13" t="s">
        <v>892</v>
      </c>
      <c r="L174" s="15">
        <f t="shared" si="7"/>
        <v>3.5266203703703675E-2</v>
      </c>
      <c r="M174">
        <f t="shared" si="8"/>
        <v>5</v>
      </c>
    </row>
    <row r="175" spans="1:13" x14ac:dyDescent="0.3">
      <c r="A175" s="1"/>
      <c r="B175" s="1"/>
      <c r="C175" s="1"/>
      <c r="D175" s="1"/>
      <c r="E175" s="1"/>
      <c r="F175" s="1"/>
      <c r="G175" s="9" t="s">
        <v>893</v>
      </c>
      <c r="H175" s="9" t="s">
        <v>39</v>
      </c>
      <c r="I175" s="9" t="s">
        <v>486</v>
      </c>
      <c r="J175" s="3" t="s">
        <v>894</v>
      </c>
      <c r="K175" s="13" t="s">
        <v>895</v>
      </c>
      <c r="L175" s="15">
        <f t="shared" si="7"/>
        <v>3.5763888888888928E-2</v>
      </c>
      <c r="M175">
        <f t="shared" si="8"/>
        <v>9</v>
      </c>
    </row>
    <row r="176" spans="1:13" x14ac:dyDescent="0.3">
      <c r="A176" s="1"/>
      <c r="B176" s="1"/>
      <c r="C176" s="1"/>
      <c r="D176" s="1"/>
      <c r="E176" s="1"/>
      <c r="F176" s="1"/>
      <c r="G176" s="9" t="s">
        <v>896</v>
      </c>
      <c r="H176" s="9" t="s">
        <v>39</v>
      </c>
      <c r="I176" s="9" t="s">
        <v>486</v>
      </c>
      <c r="J176" s="3" t="s">
        <v>897</v>
      </c>
      <c r="K176" s="13" t="s">
        <v>898</v>
      </c>
      <c r="L176" s="15">
        <f t="shared" si="7"/>
        <v>4.54282407407407E-2</v>
      </c>
      <c r="M176">
        <f t="shared" si="8"/>
        <v>10</v>
      </c>
    </row>
    <row r="177" spans="1:13" x14ac:dyDescent="0.3">
      <c r="A177" s="1"/>
      <c r="B177" s="1"/>
      <c r="C177" s="1"/>
      <c r="D177" s="1"/>
      <c r="E177" s="1"/>
      <c r="F177" s="1"/>
      <c r="G177" s="9" t="s">
        <v>899</v>
      </c>
      <c r="H177" s="9" t="s">
        <v>39</v>
      </c>
      <c r="I177" s="9" t="s">
        <v>486</v>
      </c>
      <c r="J177" s="3" t="s">
        <v>900</v>
      </c>
      <c r="K177" s="13" t="s">
        <v>901</v>
      </c>
      <c r="L177" s="15">
        <f t="shared" si="7"/>
        <v>2.2812500000000013E-2</v>
      </c>
      <c r="M177">
        <f t="shared" si="8"/>
        <v>13</v>
      </c>
    </row>
    <row r="178" spans="1:13" x14ac:dyDescent="0.3">
      <c r="A178" s="1"/>
      <c r="B178" s="1"/>
      <c r="C178" s="1"/>
      <c r="D178" s="1"/>
      <c r="E178" s="1"/>
      <c r="F178" s="1"/>
      <c r="G178" s="9" t="s">
        <v>902</v>
      </c>
      <c r="H178" s="9" t="s">
        <v>39</v>
      </c>
      <c r="I178" s="9" t="s">
        <v>486</v>
      </c>
      <c r="J178" s="3" t="s">
        <v>903</v>
      </c>
      <c r="K178" s="13" t="s">
        <v>904</v>
      </c>
      <c r="L178" s="15">
        <f t="shared" si="7"/>
        <v>2.7083333333333348E-2</v>
      </c>
      <c r="M178">
        <f t="shared" si="8"/>
        <v>15</v>
      </c>
    </row>
    <row r="179" spans="1:13" x14ac:dyDescent="0.3">
      <c r="A179" s="1"/>
      <c r="B179" s="1"/>
      <c r="C179" s="9" t="s">
        <v>905</v>
      </c>
      <c r="D179" s="9" t="s">
        <v>906</v>
      </c>
      <c r="E179" s="9" t="s">
        <v>907</v>
      </c>
      <c r="F179" s="9" t="s">
        <v>22</v>
      </c>
      <c r="G179" s="9" t="s">
        <v>908</v>
      </c>
      <c r="H179" s="9" t="s">
        <v>39</v>
      </c>
      <c r="I179" s="9" t="s">
        <v>486</v>
      </c>
      <c r="J179" s="3" t="s">
        <v>909</v>
      </c>
      <c r="K179" s="13" t="s">
        <v>910</v>
      </c>
      <c r="L179" s="15">
        <f t="shared" si="7"/>
        <v>3.0104166666666599E-2</v>
      </c>
      <c r="M179">
        <f t="shared" si="8"/>
        <v>12</v>
      </c>
    </row>
    <row r="180" spans="1:13" x14ac:dyDescent="0.3">
      <c r="A180" s="1"/>
      <c r="B180" s="1"/>
      <c r="C180" s="9" t="s">
        <v>911</v>
      </c>
      <c r="D180" s="9" t="s">
        <v>912</v>
      </c>
      <c r="E180" s="9" t="s">
        <v>913</v>
      </c>
      <c r="F180" s="9" t="s">
        <v>22</v>
      </c>
      <c r="G180" s="9" t="s">
        <v>914</v>
      </c>
      <c r="H180" s="9" t="s">
        <v>39</v>
      </c>
      <c r="I180" s="9" t="s">
        <v>486</v>
      </c>
      <c r="J180" s="3" t="s">
        <v>915</v>
      </c>
      <c r="K180" s="13" t="s">
        <v>916</v>
      </c>
      <c r="L180" s="15">
        <f t="shared" si="7"/>
        <v>2.5787037037036997E-2</v>
      </c>
      <c r="M180">
        <f t="shared" si="8"/>
        <v>12</v>
      </c>
    </row>
    <row r="181" spans="1:13" x14ac:dyDescent="0.3">
      <c r="A181" s="1"/>
      <c r="B181" s="1"/>
      <c r="C181" s="9" t="s">
        <v>917</v>
      </c>
      <c r="D181" s="9" t="s">
        <v>918</v>
      </c>
      <c r="E181" s="9" t="s">
        <v>919</v>
      </c>
      <c r="F181" s="9" t="s">
        <v>22</v>
      </c>
      <c r="G181" s="9" t="s">
        <v>920</v>
      </c>
      <c r="H181" s="9" t="s">
        <v>39</v>
      </c>
      <c r="I181" s="9" t="s">
        <v>486</v>
      </c>
      <c r="J181" s="6" t="s">
        <v>921</v>
      </c>
      <c r="K181" s="14" t="s">
        <v>922</v>
      </c>
      <c r="L181" s="15">
        <f t="shared" si="7"/>
        <v>5.3263888888888888E-2</v>
      </c>
      <c r="M181">
        <f t="shared" si="8"/>
        <v>13</v>
      </c>
    </row>
  </sheetData>
  <pageMargins left="0.7" right="0.7" top="0.75" bottom="0.75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63"/>
  <sheetViews>
    <sheetView topLeftCell="J1" workbookViewId="0">
      <selection activeCell="P27" sqref="P27"/>
    </sheetView>
  </sheetViews>
  <sheetFormatPr defaultRowHeight="14.65" x14ac:dyDescent="0.3"/>
  <cols>
    <col min="1" max="1" width="14.109375" customWidth="1"/>
    <col min="2" max="2" width="31.88671875" customWidth="1"/>
    <col min="3" max="3" width="7.5546875" customWidth="1"/>
    <col min="4" max="5" width="31.33203125" customWidth="1"/>
    <col min="6" max="7" width="13.109375" customWidth="1"/>
    <col min="8" max="8" width="18.44140625" customWidth="1"/>
    <col min="9" max="9" width="16.6640625" customWidth="1"/>
    <col min="10" max="10" width="14.88671875" customWidth="1"/>
    <col min="11" max="11" width="16" customWidth="1"/>
    <col min="12" max="12" width="10.33203125" style="15" bestFit="1" customWidth="1"/>
    <col min="13" max="13" width="11.109375" style="15" bestFit="1" customWidth="1"/>
    <col min="14" max="14" width="11.109375" bestFit="1" customWidth="1"/>
    <col min="15" max="15" width="11" bestFit="1" customWidth="1"/>
    <col min="16" max="16" width="28.5546875" bestFit="1" customWidth="1"/>
    <col min="17" max="17" width="41.88671875" bestFit="1" customWidth="1"/>
    <col min="18" max="18" width="43.88671875" bestFit="1" customWidth="1"/>
    <col min="19" max="19" width="39" bestFit="1" customWidth="1"/>
    <col min="20" max="20" width="34" bestFit="1" customWidth="1"/>
    <col min="21" max="21" width="21.6640625" bestFit="1" customWidth="1"/>
  </cols>
  <sheetData>
    <row r="1" spans="1:20" x14ac:dyDescent="0.3">
      <c r="A1" s="8" t="s">
        <v>0</v>
      </c>
      <c r="B1" s="5"/>
      <c r="C1" s="8" t="s">
        <v>1</v>
      </c>
      <c r="D1" s="5"/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  <c r="J1" s="9" t="s">
        <v>7</v>
      </c>
      <c r="K1" s="9" t="s">
        <v>8</v>
      </c>
    </row>
    <row r="2" spans="1:20" x14ac:dyDescent="0.3">
      <c r="A2" s="10" t="s">
        <v>16</v>
      </c>
      <c r="B2" s="2"/>
      <c r="C2" s="2"/>
      <c r="D2" s="2"/>
      <c r="E2" s="2"/>
      <c r="F2" s="2"/>
      <c r="G2" s="2"/>
      <c r="H2" s="2"/>
      <c r="I2" s="7"/>
      <c r="J2" s="4"/>
      <c r="K2" s="12"/>
      <c r="R2" s="15"/>
      <c r="S2" s="15"/>
      <c r="T2" s="15"/>
    </row>
    <row r="3" spans="1:20" x14ac:dyDescent="0.3">
      <c r="A3" s="9" t="s">
        <v>63</v>
      </c>
      <c r="B3" s="9" t="s">
        <v>64</v>
      </c>
      <c r="C3" s="11" t="s">
        <v>19</v>
      </c>
      <c r="D3" s="2"/>
      <c r="E3" s="2"/>
      <c r="F3" s="2"/>
      <c r="G3" s="2"/>
      <c r="H3" s="2"/>
      <c r="I3" s="7"/>
      <c r="J3" s="4"/>
      <c r="K3" s="12"/>
      <c r="R3" s="15"/>
      <c r="S3" s="15"/>
      <c r="T3" s="15"/>
    </row>
    <row r="4" spans="1:20" x14ac:dyDescent="0.3">
      <c r="A4" s="1"/>
      <c r="B4" s="1"/>
      <c r="C4" s="9" t="s">
        <v>923</v>
      </c>
      <c r="D4" s="9" t="s">
        <v>924</v>
      </c>
      <c r="E4" s="9" t="s">
        <v>924</v>
      </c>
      <c r="F4" s="9" t="s">
        <v>22</v>
      </c>
      <c r="G4" s="9" t="s">
        <v>925</v>
      </c>
      <c r="H4" s="9" t="s">
        <v>39</v>
      </c>
      <c r="I4" s="9" t="s">
        <v>926</v>
      </c>
      <c r="J4" s="3" t="s">
        <v>927</v>
      </c>
      <c r="K4" s="13" t="s">
        <v>928</v>
      </c>
      <c r="R4" s="15"/>
      <c r="S4" s="15"/>
      <c r="T4" s="15"/>
    </row>
    <row r="5" spans="1:20" x14ac:dyDescent="0.3">
      <c r="A5" s="1"/>
      <c r="B5" s="1"/>
      <c r="C5" s="9" t="s">
        <v>65</v>
      </c>
      <c r="D5" s="9" t="s">
        <v>66</v>
      </c>
      <c r="E5" s="9" t="s">
        <v>66</v>
      </c>
      <c r="F5" s="9" t="s">
        <v>22</v>
      </c>
      <c r="G5" s="9" t="s">
        <v>929</v>
      </c>
      <c r="H5" s="9" t="s">
        <v>39</v>
      </c>
      <c r="I5" s="9" t="s">
        <v>926</v>
      </c>
      <c r="J5" s="3" t="s">
        <v>930</v>
      </c>
      <c r="K5" s="13" t="s">
        <v>931</v>
      </c>
      <c r="R5" s="15"/>
      <c r="S5" s="15"/>
      <c r="T5" s="15"/>
    </row>
    <row r="6" spans="1:20" x14ac:dyDescent="0.3">
      <c r="A6" s="1"/>
      <c r="B6" s="1"/>
      <c r="C6" s="9" t="s">
        <v>20</v>
      </c>
      <c r="D6" s="9" t="s">
        <v>21</v>
      </c>
      <c r="E6" s="9" t="s">
        <v>21</v>
      </c>
      <c r="F6" s="9" t="s">
        <v>22</v>
      </c>
      <c r="G6" s="11" t="s">
        <v>19</v>
      </c>
      <c r="H6" s="2"/>
      <c r="I6" s="7"/>
      <c r="J6" s="4"/>
      <c r="K6" s="12"/>
      <c r="R6" s="15"/>
      <c r="S6" s="15"/>
      <c r="T6" s="15"/>
    </row>
    <row r="7" spans="1:20" x14ac:dyDescent="0.3">
      <c r="A7" s="1"/>
      <c r="B7" s="1"/>
      <c r="C7" s="1"/>
      <c r="D7" s="1"/>
      <c r="E7" s="1"/>
      <c r="F7" s="1"/>
      <c r="G7" s="9" t="s">
        <v>932</v>
      </c>
      <c r="H7" s="9" t="s">
        <v>24</v>
      </c>
      <c r="I7" s="9" t="s">
        <v>926</v>
      </c>
      <c r="J7" s="3" t="s">
        <v>933</v>
      </c>
      <c r="K7" s="13" t="s">
        <v>934</v>
      </c>
      <c r="R7" s="15"/>
      <c r="S7" s="15"/>
      <c r="T7" s="15"/>
    </row>
    <row r="8" spans="1:20" x14ac:dyDescent="0.3">
      <c r="A8" s="1"/>
      <c r="B8" s="1"/>
      <c r="C8" s="1"/>
      <c r="D8" s="1"/>
      <c r="E8" s="1"/>
      <c r="F8" s="1"/>
      <c r="G8" s="9" t="s">
        <v>935</v>
      </c>
      <c r="H8" s="9" t="s">
        <v>39</v>
      </c>
      <c r="I8" s="9" t="s">
        <v>926</v>
      </c>
      <c r="J8" s="3" t="s">
        <v>936</v>
      </c>
      <c r="K8" s="13" t="s">
        <v>937</v>
      </c>
      <c r="R8" s="15"/>
      <c r="S8" s="15"/>
      <c r="T8" s="15"/>
    </row>
    <row r="9" spans="1:20" x14ac:dyDescent="0.3">
      <c r="A9" s="1"/>
      <c r="B9" s="1"/>
      <c r="C9" s="9" t="s">
        <v>93</v>
      </c>
      <c r="D9" s="9" t="s">
        <v>94</v>
      </c>
      <c r="E9" s="11" t="s">
        <v>19</v>
      </c>
      <c r="F9" s="2"/>
      <c r="G9" s="2"/>
      <c r="H9" s="2"/>
      <c r="I9" s="7"/>
      <c r="J9" s="4"/>
      <c r="K9" s="12"/>
      <c r="R9" s="15"/>
      <c r="S9" s="15"/>
      <c r="T9" s="15"/>
    </row>
    <row r="10" spans="1:20" x14ac:dyDescent="0.3">
      <c r="A10" s="1"/>
      <c r="B10" s="1"/>
      <c r="C10" s="1"/>
      <c r="D10" s="1"/>
      <c r="E10" s="9" t="s">
        <v>94</v>
      </c>
      <c r="F10" s="9" t="s">
        <v>22</v>
      </c>
      <c r="G10" s="11" t="s">
        <v>19</v>
      </c>
      <c r="H10" s="2"/>
      <c r="I10" s="7"/>
      <c r="J10" s="4"/>
      <c r="K10" s="12"/>
      <c r="R10" s="15"/>
      <c r="S10" s="15"/>
      <c r="T10" s="15"/>
    </row>
    <row r="11" spans="1:20" x14ac:dyDescent="0.3">
      <c r="A11" s="1"/>
      <c r="B11" s="1"/>
      <c r="C11" s="1"/>
      <c r="D11" s="1"/>
      <c r="E11" s="1"/>
      <c r="F11" s="1"/>
      <c r="G11" s="9" t="s">
        <v>938</v>
      </c>
      <c r="H11" s="9" t="s">
        <v>39</v>
      </c>
      <c r="I11" s="9" t="s">
        <v>926</v>
      </c>
      <c r="J11" s="3" t="s">
        <v>939</v>
      </c>
      <c r="K11" s="13" t="s">
        <v>940</v>
      </c>
      <c r="R11" s="15"/>
      <c r="S11" s="15"/>
      <c r="T11" s="15"/>
    </row>
    <row r="12" spans="1:20" x14ac:dyDescent="0.3">
      <c r="A12" s="1"/>
      <c r="B12" s="1"/>
      <c r="C12" s="1"/>
      <c r="D12" s="1"/>
      <c r="E12" s="1"/>
      <c r="F12" s="1"/>
      <c r="G12" s="9" t="s">
        <v>941</v>
      </c>
      <c r="H12" s="9" t="s">
        <v>39</v>
      </c>
      <c r="I12" s="9" t="s">
        <v>926</v>
      </c>
      <c r="J12" s="3" t="s">
        <v>942</v>
      </c>
      <c r="K12" s="13" t="s">
        <v>943</v>
      </c>
      <c r="R12" s="15"/>
      <c r="S12" s="15"/>
      <c r="T12" s="15"/>
    </row>
    <row r="13" spans="1:20" x14ac:dyDescent="0.3">
      <c r="A13" s="1"/>
      <c r="B13" s="1"/>
      <c r="C13" s="1"/>
      <c r="D13" s="1"/>
      <c r="E13" s="1"/>
      <c r="F13" s="1"/>
      <c r="G13" s="9" t="s">
        <v>944</v>
      </c>
      <c r="H13" s="9" t="s">
        <v>39</v>
      </c>
      <c r="I13" s="9" t="s">
        <v>926</v>
      </c>
      <c r="J13" s="3" t="s">
        <v>945</v>
      </c>
      <c r="K13" s="13" t="s">
        <v>946</v>
      </c>
      <c r="R13" s="15"/>
      <c r="S13" s="15"/>
      <c r="T13" s="15"/>
    </row>
    <row r="14" spans="1:20" x14ac:dyDescent="0.3">
      <c r="A14" s="1"/>
      <c r="B14" s="1"/>
      <c r="C14" s="1"/>
      <c r="D14" s="1"/>
      <c r="E14" s="1"/>
      <c r="F14" s="1"/>
      <c r="G14" s="9" t="s">
        <v>947</v>
      </c>
      <c r="H14" s="9" t="s">
        <v>39</v>
      </c>
      <c r="I14" s="9" t="s">
        <v>926</v>
      </c>
      <c r="J14" s="3" t="s">
        <v>948</v>
      </c>
      <c r="K14" s="13" t="s">
        <v>949</v>
      </c>
      <c r="R14" s="15"/>
      <c r="S14" s="15"/>
      <c r="T14" s="15"/>
    </row>
    <row r="15" spans="1:20" x14ac:dyDescent="0.3">
      <c r="A15" s="1"/>
      <c r="B15" s="1"/>
      <c r="C15" s="1"/>
      <c r="D15" s="1"/>
      <c r="E15" s="1"/>
      <c r="F15" s="1"/>
      <c r="G15" s="9" t="s">
        <v>950</v>
      </c>
      <c r="H15" s="9" t="s">
        <v>39</v>
      </c>
      <c r="I15" s="9" t="s">
        <v>926</v>
      </c>
      <c r="J15" s="3" t="s">
        <v>951</v>
      </c>
      <c r="K15" s="13" t="s">
        <v>952</v>
      </c>
      <c r="R15" s="15"/>
      <c r="S15" s="15"/>
      <c r="T15" s="15"/>
    </row>
    <row r="16" spans="1:20" x14ac:dyDescent="0.3">
      <c r="A16" s="1"/>
      <c r="B16" s="1"/>
      <c r="C16" s="1"/>
      <c r="D16" s="1"/>
      <c r="E16" s="9" t="s">
        <v>164</v>
      </c>
      <c r="F16" s="9" t="s">
        <v>22</v>
      </c>
      <c r="G16" s="9" t="s">
        <v>953</v>
      </c>
      <c r="H16" s="9" t="s">
        <v>39</v>
      </c>
      <c r="I16" s="9" t="s">
        <v>926</v>
      </c>
      <c r="J16" s="3" t="s">
        <v>954</v>
      </c>
      <c r="K16" s="13" t="s">
        <v>955</v>
      </c>
      <c r="R16" s="15"/>
      <c r="S16" s="15"/>
      <c r="T16" s="15"/>
    </row>
    <row r="17" spans="1:20" x14ac:dyDescent="0.3">
      <c r="A17" s="1"/>
      <c r="B17" s="1"/>
      <c r="C17" s="9" t="s">
        <v>98</v>
      </c>
      <c r="D17" s="9" t="s">
        <v>99</v>
      </c>
      <c r="E17" s="9" t="s">
        <v>99</v>
      </c>
      <c r="F17" s="9" t="s">
        <v>22</v>
      </c>
      <c r="G17" s="9" t="s">
        <v>956</v>
      </c>
      <c r="H17" s="9" t="s">
        <v>39</v>
      </c>
      <c r="I17" s="9" t="s">
        <v>926</v>
      </c>
      <c r="J17" s="3" t="s">
        <v>957</v>
      </c>
      <c r="K17" s="13" t="s">
        <v>958</v>
      </c>
      <c r="R17" s="15"/>
      <c r="S17" s="15"/>
      <c r="T17" s="15"/>
    </row>
    <row r="18" spans="1:20" x14ac:dyDescent="0.3">
      <c r="A18" s="1"/>
      <c r="B18" s="1"/>
      <c r="C18" s="9" t="s">
        <v>959</v>
      </c>
      <c r="D18" s="9" t="s">
        <v>960</v>
      </c>
      <c r="E18" s="9" t="s">
        <v>960</v>
      </c>
      <c r="F18" s="9" t="s">
        <v>22</v>
      </c>
      <c r="G18" s="9" t="s">
        <v>961</v>
      </c>
      <c r="H18" s="9" t="s">
        <v>39</v>
      </c>
      <c r="I18" s="9" t="s">
        <v>926</v>
      </c>
      <c r="J18" s="3" t="s">
        <v>962</v>
      </c>
      <c r="K18" s="13" t="s">
        <v>963</v>
      </c>
      <c r="R18" s="15"/>
      <c r="S18" s="15"/>
      <c r="T18" s="15"/>
    </row>
    <row r="19" spans="1:20" x14ac:dyDescent="0.3">
      <c r="A19" s="1"/>
      <c r="B19" s="1"/>
      <c r="C19" s="9" t="s">
        <v>31</v>
      </c>
      <c r="D19" s="9" t="s">
        <v>32</v>
      </c>
      <c r="E19" s="9" t="s">
        <v>32</v>
      </c>
      <c r="F19" s="9" t="s">
        <v>22</v>
      </c>
      <c r="G19" s="9" t="s">
        <v>964</v>
      </c>
      <c r="H19" s="9" t="s">
        <v>24</v>
      </c>
      <c r="I19" s="9" t="s">
        <v>926</v>
      </c>
      <c r="J19" s="3" t="s">
        <v>965</v>
      </c>
      <c r="K19" s="13" t="s">
        <v>966</v>
      </c>
      <c r="R19" s="15"/>
      <c r="S19" s="15"/>
      <c r="T19" s="15"/>
    </row>
    <row r="20" spans="1:20" x14ac:dyDescent="0.3">
      <c r="A20" s="1"/>
      <c r="B20" s="1"/>
      <c r="C20" s="9" t="s">
        <v>36</v>
      </c>
      <c r="D20" s="9" t="s">
        <v>37</v>
      </c>
      <c r="E20" s="9" t="s">
        <v>37</v>
      </c>
      <c r="F20" s="9" t="s">
        <v>22</v>
      </c>
      <c r="G20" s="9" t="s">
        <v>967</v>
      </c>
      <c r="H20" s="9" t="s">
        <v>39</v>
      </c>
      <c r="I20" s="9" t="s">
        <v>926</v>
      </c>
      <c r="J20" s="3" t="s">
        <v>968</v>
      </c>
      <c r="K20" s="13" t="s">
        <v>969</v>
      </c>
      <c r="R20" s="15"/>
      <c r="S20" s="15"/>
      <c r="T20" s="15"/>
    </row>
    <row r="21" spans="1:20" x14ac:dyDescent="0.3">
      <c r="A21" s="1"/>
      <c r="B21" s="1"/>
      <c r="C21" s="9" t="s">
        <v>513</v>
      </c>
      <c r="D21" s="9" t="s">
        <v>514</v>
      </c>
      <c r="E21" s="9" t="s">
        <v>514</v>
      </c>
      <c r="F21" s="9" t="s">
        <v>22</v>
      </c>
      <c r="G21" s="11" t="s">
        <v>19</v>
      </c>
      <c r="H21" s="2"/>
      <c r="I21" s="7"/>
      <c r="J21" s="4"/>
      <c r="K21" s="12"/>
      <c r="R21" s="15"/>
      <c r="S21" s="15"/>
      <c r="T21" s="15"/>
    </row>
    <row r="22" spans="1:20" x14ac:dyDescent="0.3">
      <c r="A22" s="1"/>
      <c r="B22" s="1"/>
      <c r="C22" s="1"/>
      <c r="D22" s="1"/>
      <c r="E22" s="1"/>
      <c r="F22" s="1"/>
      <c r="G22" s="9" t="s">
        <v>970</v>
      </c>
      <c r="H22" s="9" t="s">
        <v>24</v>
      </c>
      <c r="I22" s="9" t="s">
        <v>926</v>
      </c>
      <c r="J22" s="3" t="s">
        <v>971</v>
      </c>
      <c r="K22" s="13" t="s">
        <v>972</v>
      </c>
      <c r="R22" s="15"/>
      <c r="S22" s="15"/>
      <c r="T22" s="15"/>
    </row>
    <row r="23" spans="1:20" x14ac:dyDescent="0.3">
      <c r="A23" s="1"/>
      <c r="B23" s="1"/>
      <c r="C23" s="1"/>
      <c r="D23" s="1"/>
      <c r="E23" s="1"/>
      <c r="F23" s="1"/>
      <c r="G23" s="9" t="s">
        <v>973</v>
      </c>
      <c r="H23" s="9" t="s">
        <v>24</v>
      </c>
      <c r="I23" s="9" t="s">
        <v>926</v>
      </c>
      <c r="J23" s="3" t="s">
        <v>974</v>
      </c>
      <c r="K23" s="13" t="s">
        <v>975</v>
      </c>
      <c r="R23" s="15"/>
      <c r="S23" s="15"/>
      <c r="T23" s="15"/>
    </row>
    <row r="24" spans="1:20" x14ac:dyDescent="0.3">
      <c r="A24" s="1"/>
      <c r="B24" s="1"/>
      <c r="C24" s="9" t="s">
        <v>798</v>
      </c>
      <c r="D24" s="9" t="s">
        <v>799</v>
      </c>
      <c r="E24" s="9" t="s">
        <v>799</v>
      </c>
      <c r="F24" s="9" t="s">
        <v>22</v>
      </c>
      <c r="G24" s="9" t="s">
        <v>976</v>
      </c>
      <c r="H24" s="9" t="s">
        <v>39</v>
      </c>
      <c r="I24" s="9" t="s">
        <v>926</v>
      </c>
      <c r="J24" s="3" t="s">
        <v>977</v>
      </c>
      <c r="K24" s="13" t="s">
        <v>978</v>
      </c>
      <c r="R24" s="15"/>
      <c r="S24" s="15"/>
      <c r="T24" s="15"/>
    </row>
    <row r="25" spans="1:20" x14ac:dyDescent="0.3">
      <c r="A25" s="9" t="s">
        <v>114</v>
      </c>
      <c r="B25" s="9" t="s">
        <v>115</v>
      </c>
      <c r="C25" s="11" t="s">
        <v>19</v>
      </c>
      <c r="D25" s="2"/>
      <c r="E25" s="2"/>
      <c r="F25" s="2"/>
      <c r="G25" s="2"/>
      <c r="H25" s="2"/>
      <c r="I25" s="7"/>
      <c r="J25" s="4"/>
      <c r="K25" s="12"/>
      <c r="R25" s="15"/>
      <c r="S25" s="15"/>
      <c r="T25" s="15"/>
    </row>
    <row r="26" spans="1:20" x14ac:dyDescent="0.3">
      <c r="A26" s="1"/>
      <c r="B26" s="1"/>
      <c r="C26" s="9" t="s">
        <v>116</v>
      </c>
      <c r="D26" s="9" t="s">
        <v>117</v>
      </c>
      <c r="E26" s="11" t="s">
        <v>19</v>
      </c>
      <c r="F26" s="2"/>
      <c r="G26" s="2"/>
      <c r="H26" s="2"/>
      <c r="I26" s="7"/>
      <c r="J26" s="4"/>
      <c r="K26" s="12"/>
    </row>
    <row r="27" spans="1:20" x14ac:dyDescent="0.3">
      <c r="A27" s="1"/>
      <c r="B27" s="1"/>
      <c r="C27" s="1"/>
      <c r="D27" s="1"/>
      <c r="E27" s="9" t="s">
        <v>117</v>
      </c>
      <c r="F27" s="9" t="s">
        <v>22</v>
      </c>
      <c r="G27" s="11" t="s">
        <v>19</v>
      </c>
      <c r="H27" s="2"/>
      <c r="I27" s="7"/>
      <c r="J27" s="4"/>
      <c r="K27" s="12"/>
    </row>
    <row r="28" spans="1:20" x14ac:dyDescent="0.3">
      <c r="A28" s="1"/>
      <c r="B28" s="1"/>
      <c r="C28" s="1"/>
      <c r="D28" s="1"/>
      <c r="E28" s="1"/>
      <c r="F28" s="1"/>
      <c r="G28" s="9" t="s">
        <v>979</v>
      </c>
      <c r="H28" s="9" t="s">
        <v>119</v>
      </c>
      <c r="I28" s="9" t="s">
        <v>926</v>
      </c>
      <c r="J28" s="3" t="s">
        <v>980</v>
      </c>
      <c r="K28" s="13" t="s">
        <v>981</v>
      </c>
    </row>
    <row r="29" spans="1:20" x14ac:dyDescent="0.3">
      <c r="A29" s="1"/>
      <c r="B29" s="1"/>
      <c r="C29" s="1"/>
      <c r="D29" s="1"/>
      <c r="E29" s="1"/>
      <c r="F29" s="1"/>
      <c r="G29" s="9" t="s">
        <v>982</v>
      </c>
      <c r="H29" s="9" t="s">
        <v>119</v>
      </c>
      <c r="I29" s="9" t="s">
        <v>926</v>
      </c>
      <c r="J29" s="3" t="s">
        <v>983</v>
      </c>
      <c r="K29" s="13" t="s">
        <v>984</v>
      </c>
    </row>
    <row r="30" spans="1:20" x14ac:dyDescent="0.3">
      <c r="A30" s="1"/>
      <c r="B30" s="1"/>
      <c r="C30" s="1"/>
      <c r="D30" s="1"/>
      <c r="E30" s="1"/>
      <c r="F30" s="1"/>
      <c r="G30" s="9" t="s">
        <v>985</v>
      </c>
      <c r="H30" s="9" t="s">
        <v>119</v>
      </c>
      <c r="I30" s="9" t="s">
        <v>926</v>
      </c>
      <c r="J30" s="3" t="s">
        <v>986</v>
      </c>
      <c r="K30" s="13" t="s">
        <v>987</v>
      </c>
    </row>
    <row r="31" spans="1:20" x14ac:dyDescent="0.3">
      <c r="A31" s="1"/>
      <c r="B31" s="1"/>
      <c r="C31" s="1"/>
      <c r="D31" s="1"/>
      <c r="E31" s="1"/>
      <c r="F31" s="1"/>
      <c r="G31" s="9" t="s">
        <v>988</v>
      </c>
      <c r="H31" s="9" t="s">
        <v>119</v>
      </c>
      <c r="I31" s="9" t="s">
        <v>926</v>
      </c>
      <c r="J31" s="3" t="s">
        <v>989</v>
      </c>
      <c r="K31" s="13" t="s">
        <v>990</v>
      </c>
    </row>
    <row r="32" spans="1:20" x14ac:dyDescent="0.3">
      <c r="A32" s="1"/>
      <c r="B32" s="1"/>
      <c r="C32" s="1"/>
      <c r="D32" s="1"/>
      <c r="E32" s="1"/>
      <c r="F32" s="1"/>
      <c r="G32" s="9" t="s">
        <v>991</v>
      </c>
      <c r="H32" s="9" t="s">
        <v>119</v>
      </c>
      <c r="I32" s="9" t="s">
        <v>926</v>
      </c>
      <c r="J32" s="3" t="s">
        <v>992</v>
      </c>
      <c r="K32" s="13" t="s">
        <v>993</v>
      </c>
    </row>
    <row r="33" spans="1:11" x14ac:dyDescent="0.3">
      <c r="A33" s="1"/>
      <c r="B33" s="1"/>
      <c r="C33" s="1"/>
      <c r="D33" s="1"/>
      <c r="E33" s="1"/>
      <c r="F33" s="1"/>
      <c r="G33" s="9" t="s">
        <v>994</v>
      </c>
      <c r="H33" s="9" t="s">
        <v>119</v>
      </c>
      <c r="I33" s="9" t="s">
        <v>926</v>
      </c>
      <c r="J33" s="3" t="s">
        <v>995</v>
      </c>
      <c r="K33" s="16" t="s">
        <v>996</v>
      </c>
    </row>
    <row r="34" spans="1:11" x14ac:dyDescent="0.3">
      <c r="A34" s="1"/>
      <c r="B34" s="1"/>
      <c r="C34" s="1"/>
      <c r="D34" s="1"/>
      <c r="E34" s="9" t="s">
        <v>125</v>
      </c>
      <c r="F34" s="9" t="s">
        <v>22</v>
      </c>
      <c r="G34" s="11" t="s">
        <v>19</v>
      </c>
      <c r="H34" s="2"/>
      <c r="I34" s="7"/>
      <c r="J34" s="4"/>
      <c r="K34" s="12"/>
    </row>
    <row r="35" spans="1:11" x14ac:dyDescent="0.3">
      <c r="A35" s="1"/>
      <c r="B35" s="1"/>
      <c r="C35" s="1"/>
      <c r="D35" s="1"/>
      <c r="E35" s="1"/>
      <c r="F35" s="1"/>
      <c r="G35" s="9" t="s">
        <v>997</v>
      </c>
      <c r="H35" s="9" t="s">
        <v>127</v>
      </c>
      <c r="I35" s="9" t="s">
        <v>926</v>
      </c>
      <c r="J35" s="3" t="s">
        <v>998</v>
      </c>
      <c r="K35" s="13" t="s">
        <v>999</v>
      </c>
    </row>
    <row r="36" spans="1:11" x14ac:dyDescent="0.3">
      <c r="A36" s="1"/>
      <c r="B36" s="1"/>
      <c r="C36" s="1"/>
      <c r="D36" s="1"/>
      <c r="E36" s="1"/>
      <c r="F36" s="1"/>
      <c r="G36" s="9" t="s">
        <v>1000</v>
      </c>
      <c r="H36" s="9" t="s">
        <v>127</v>
      </c>
      <c r="I36" s="9" t="s">
        <v>926</v>
      </c>
      <c r="J36" s="3" t="s">
        <v>1001</v>
      </c>
      <c r="K36" s="13" t="s">
        <v>1002</v>
      </c>
    </row>
    <row r="37" spans="1:11" x14ac:dyDescent="0.3">
      <c r="A37" s="1"/>
      <c r="B37" s="1"/>
      <c r="C37" s="9" t="s">
        <v>136</v>
      </c>
      <c r="D37" s="9" t="s">
        <v>137</v>
      </c>
      <c r="E37" s="9" t="s">
        <v>137</v>
      </c>
      <c r="F37" s="9" t="s">
        <v>22</v>
      </c>
      <c r="G37" s="11" t="s">
        <v>19</v>
      </c>
      <c r="H37" s="2"/>
      <c r="I37" s="7"/>
      <c r="J37" s="4"/>
      <c r="K37" s="12"/>
    </row>
    <row r="38" spans="1:11" x14ac:dyDescent="0.3">
      <c r="A38" s="1"/>
      <c r="B38" s="1"/>
      <c r="C38" s="1"/>
      <c r="D38" s="1"/>
      <c r="E38" s="1"/>
      <c r="F38" s="1"/>
      <c r="G38" s="9" t="s">
        <v>1003</v>
      </c>
      <c r="H38" s="9" t="s">
        <v>119</v>
      </c>
      <c r="I38" s="9" t="s">
        <v>926</v>
      </c>
      <c r="J38" s="3" t="s">
        <v>1004</v>
      </c>
      <c r="K38" s="13" t="s">
        <v>1005</v>
      </c>
    </row>
    <row r="39" spans="1:11" x14ac:dyDescent="0.3">
      <c r="A39" s="1"/>
      <c r="B39" s="1"/>
      <c r="C39" s="1"/>
      <c r="D39" s="1"/>
      <c r="E39" s="1"/>
      <c r="F39" s="1"/>
      <c r="G39" s="9" t="s">
        <v>1006</v>
      </c>
      <c r="H39" s="9" t="s">
        <v>119</v>
      </c>
      <c r="I39" s="9" t="s">
        <v>926</v>
      </c>
      <c r="J39" s="3" t="s">
        <v>1007</v>
      </c>
      <c r="K39" s="13" t="s">
        <v>1008</v>
      </c>
    </row>
    <row r="40" spans="1:11" x14ac:dyDescent="0.3">
      <c r="A40" s="1"/>
      <c r="B40" s="1"/>
      <c r="C40" s="9" t="s">
        <v>147</v>
      </c>
      <c r="D40" s="9" t="s">
        <v>148</v>
      </c>
      <c r="E40" s="9" t="s">
        <v>149</v>
      </c>
      <c r="F40" s="9" t="s">
        <v>22</v>
      </c>
      <c r="G40" s="9" t="s">
        <v>1009</v>
      </c>
      <c r="H40" s="9" t="s">
        <v>127</v>
      </c>
      <c r="I40" s="9" t="s">
        <v>926</v>
      </c>
      <c r="J40" s="3" t="s">
        <v>1010</v>
      </c>
      <c r="K40" s="13" t="s">
        <v>1011</v>
      </c>
    </row>
    <row r="41" spans="1:11" x14ac:dyDescent="0.3">
      <c r="A41" s="1"/>
      <c r="B41" s="1"/>
      <c r="C41" s="9" t="s">
        <v>153</v>
      </c>
      <c r="D41" s="9" t="s">
        <v>154</v>
      </c>
      <c r="E41" s="9" t="s">
        <v>154</v>
      </c>
      <c r="F41" s="9" t="s">
        <v>22</v>
      </c>
      <c r="G41" s="9" t="s">
        <v>1012</v>
      </c>
      <c r="H41" s="9" t="s">
        <v>119</v>
      </c>
      <c r="I41" s="9" t="s">
        <v>926</v>
      </c>
      <c r="J41" s="3" t="s">
        <v>1013</v>
      </c>
      <c r="K41" s="13" t="s">
        <v>1014</v>
      </c>
    </row>
    <row r="42" spans="1:11" x14ac:dyDescent="0.3">
      <c r="A42" s="1"/>
      <c r="B42" s="1"/>
      <c r="C42" s="9" t="s">
        <v>322</v>
      </c>
      <c r="D42" s="9" t="s">
        <v>323</v>
      </c>
      <c r="E42" s="11" t="s">
        <v>19</v>
      </c>
      <c r="F42" s="2"/>
      <c r="G42" s="2"/>
      <c r="H42" s="2"/>
      <c r="I42" s="7"/>
      <c r="J42" s="4"/>
      <c r="K42" s="12"/>
    </row>
    <row r="43" spans="1:11" x14ac:dyDescent="0.3">
      <c r="A43" s="1"/>
      <c r="B43" s="1"/>
      <c r="C43" s="1"/>
      <c r="D43" s="1"/>
      <c r="E43" s="9" t="s">
        <v>1015</v>
      </c>
      <c r="F43" s="9" t="s">
        <v>22</v>
      </c>
      <c r="G43" s="9" t="s">
        <v>1016</v>
      </c>
      <c r="H43" s="9" t="s">
        <v>127</v>
      </c>
      <c r="I43" s="9" t="s">
        <v>926</v>
      </c>
      <c r="J43" s="3" t="s">
        <v>1017</v>
      </c>
      <c r="K43" s="13" t="s">
        <v>1018</v>
      </c>
    </row>
    <row r="44" spans="1:11" x14ac:dyDescent="0.3">
      <c r="A44" s="1"/>
      <c r="B44" s="1"/>
      <c r="C44" s="1"/>
      <c r="D44" s="1"/>
      <c r="E44" s="9" t="s">
        <v>323</v>
      </c>
      <c r="F44" s="9" t="s">
        <v>22</v>
      </c>
      <c r="G44" s="9" t="s">
        <v>1019</v>
      </c>
      <c r="H44" s="9" t="s">
        <v>119</v>
      </c>
      <c r="I44" s="9" t="s">
        <v>926</v>
      </c>
      <c r="J44" s="3" t="s">
        <v>1020</v>
      </c>
      <c r="K44" s="13" t="s">
        <v>1021</v>
      </c>
    </row>
    <row r="45" spans="1:11" x14ac:dyDescent="0.3">
      <c r="A45" s="1"/>
      <c r="B45" s="1"/>
      <c r="C45" s="9" t="s">
        <v>93</v>
      </c>
      <c r="D45" s="9" t="s">
        <v>94</v>
      </c>
      <c r="E45" s="9" t="s">
        <v>164</v>
      </c>
      <c r="F45" s="9" t="s">
        <v>22</v>
      </c>
      <c r="G45" s="11" t="s">
        <v>19</v>
      </c>
      <c r="H45" s="2"/>
      <c r="I45" s="7"/>
      <c r="J45" s="4"/>
      <c r="K45" s="12"/>
    </row>
    <row r="46" spans="1:11" x14ac:dyDescent="0.3">
      <c r="A46" s="1"/>
      <c r="B46" s="1"/>
      <c r="C46" s="1"/>
      <c r="D46" s="1"/>
      <c r="E46" s="1"/>
      <c r="F46" s="1"/>
      <c r="G46" s="9" t="s">
        <v>1022</v>
      </c>
      <c r="H46" s="9" t="s">
        <v>119</v>
      </c>
      <c r="I46" s="9" t="s">
        <v>926</v>
      </c>
      <c r="J46" s="3" t="s">
        <v>1023</v>
      </c>
      <c r="K46" s="13" t="s">
        <v>1024</v>
      </c>
    </row>
    <row r="47" spans="1:11" x14ac:dyDescent="0.3">
      <c r="A47" s="1"/>
      <c r="B47" s="1"/>
      <c r="C47" s="1"/>
      <c r="D47" s="1"/>
      <c r="E47" s="1"/>
      <c r="F47" s="1"/>
      <c r="G47" s="9" t="s">
        <v>1025</v>
      </c>
      <c r="H47" s="9" t="s">
        <v>119</v>
      </c>
      <c r="I47" s="9" t="s">
        <v>926</v>
      </c>
      <c r="J47" s="3" t="s">
        <v>1026</v>
      </c>
      <c r="K47" s="13" t="s">
        <v>1027</v>
      </c>
    </row>
    <row r="48" spans="1:11" x14ac:dyDescent="0.3">
      <c r="A48" s="1"/>
      <c r="B48" s="1"/>
      <c r="C48" s="1"/>
      <c r="D48" s="1"/>
      <c r="E48" s="1"/>
      <c r="F48" s="1"/>
      <c r="G48" s="9" t="s">
        <v>1028</v>
      </c>
      <c r="H48" s="9" t="s">
        <v>119</v>
      </c>
      <c r="I48" s="9" t="s">
        <v>926</v>
      </c>
      <c r="J48" s="3" t="s">
        <v>1029</v>
      </c>
      <c r="K48" s="13" t="s">
        <v>1030</v>
      </c>
    </row>
    <row r="49" spans="1:11" x14ac:dyDescent="0.3">
      <c r="A49" s="1"/>
      <c r="B49" s="1"/>
      <c r="C49" s="9" t="s">
        <v>177</v>
      </c>
      <c r="D49" s="9" t="s">
        <v>178</v>
      </c>
      <c r="E49" s="9" t="s">
        <v>178</v>
      </c>
      <c r="F49" s="9" t="s">
        <v>22</v>
      </c>
      <c r="G49" s="11" t="s">
        <v>19</v>
      </c>
      <c r="H49" s="2"/>
      <c r="I49" s="7"/>
      <c r="J49" s="4"/>
      <c r="K49" s="12"/>
    </row>
    <row r="50" spans="1:11" x14ac:dyDescent="0.3">
      <c r="A50" s="1"/>
      <c r="B50" s="1"/>
      <c r="C50" s="1"/>
      <c r="D50" s="1"/>
      <c r="E50" s="1"/>
      <c r="F50" s="1"/>
      <c r="G50" s="9" t="s">
        <v>1031</v>
      </c>
      <c r="H50" s="9" t="s">
        <v>119</v>
      </c>
      <c r="I50" s="9" t="s">
        <v>926</v>
      </c>
      <c r="J50" s="3" t="s">
        <v>1032</v>
      </c>
      <c r="K50" s="13" t="s">
        <v>1033</v>
      </c>
    </row>
    <row r="51" spans="1:11" x14ac:dyDescent="0.3">
      <c r="A51" s="1"/>
      <c r="B51" s="1"/>
      <c r="C51" s="1"/>
      <c r="D51" s="1"/>
      <c r="E51" s="1"/>
      <c r="F51" s="1"/>
      <c r="G51" s="9" t="s">
        <v>1034</v>
      </c>
      <c r="H51" s="9" t="s">
        <v>119</v>
      </c>
      <c r="I51" s="9" t="s">
        <v>926</v>
      </c>
      <c r="J51" s="3" t="s">
        <v>1035</v>
      </c>
      <c r="K51" s="13" t="s">
        <v>1036</v>
      </c>
    </row>
    <row r="52" spans="1:11" x14ac:dyDescent="0.3">
      <c r="A52" s="1"/>
      <c r="B52" s="1"/>
      <c r="C52" s="9" t="s">
        <v>607</v>
      </c>
      <c r="D52" s="9" t="s">
        <v>608</v>
      </c>
      <c r="E52" s="9" t="s">
        <v>608</v>
      </c>
      <c r="F52" s="9" t="s">
        <v>22</v>
      </c>
      <c r="G52" s="9" t="s">
        <v>1037</v>
      </c>
      <c r="H52" s="9" t="s">
        <v>119</v>
      </c>
      <c r="I52" s="9" t="s">
        <v>926</v>
      </c>
      <c r="J52" s="3" t="s">
        <v>1038</v>
      </c>
      <c r="K52" s="13" t="s">
        <v>1039</v>
      </c>
    </row>
    <row r="53" spans="1:11" x14ac:dyDescent="0.3">
      <c r="A53" s="1"/>
      <c r="B53" s="1"/>
      <c r="C53" s="9" t="s">
        <v>47</v>
      </c>
      <c r="D53" s="9" t="s">
        <v>48</v>
      </c>
      <c r="E53" s="9" t="s">
        <v>190</v>
      </c>
      <c r="F53" s="9" t="s">
        <v>22</v>
      </c>
      <c r="G53" s="11" t="s">
        <v>19</v>
      </c>
      <c r="H53" s="2"/>
      <c r="I53" s="7"/>
      <c r="J53" s="4"/>
      <c r="K53" s="12"/>
    </row>
    <row r="54" spans="1:11" x14ac:dyDescent="0.3">
      <c r="A54" s="1"/>
      <c r="B54" s="1"/>
      <c r="C54" s="1"/>
      <c r="D54" s="1"/>
      <c r="E54" s="1"/>
      <c r="F54" s="1"/>
      <c r="G54" s="9" t="s">
        <v>1040</v>
      </c>
      <c r="H54" s="9" t="s">
        <v>192</v>
      </c>
      <c r="I54" s="9" t="s">
        <v>926</v>
      </c>
      <c r="J54" s="3" t="s">
        <v>1041</v>
      </c>
      <c r="K54" s="13" t="s">
        <v>1042</v>
      </c>
    </row>
    <row r="55" spans="1:11" x14ac:dyDescent="0.3">
      <c r="A55" s="1"/>
      <c r="B55" s="1"/>
      <c r="C55" s="1"/>
      <c r="D55" s="1"/>
      <c r="E55" s="1"/>
      <c r="F55" s="1"/>
      <c r="G55" s="9" t="s">
        <v>1043</v>
      </c>
      <c r="H55" s="9" t="s">
        <v>192</v>
      </c>
      <c r="I55" s="9" t="s">
        <v>926</v>
      </c>
      <c r="J55" s="3" t="s">
        <v>1044</v>
      </c>
      <c r="K55" s="13" t="s">
        <v>1045</v>
      </c>
    </row>
    <row r="56" spans="1:11" x14ac:dyDescent="0.3">
      <c r="A56" s="1"/>
      <c r="B56" s="1"/>
      <c r="C56" s="1"/>
      <c r="D56" s="1"/>
      <c r="E56" s="1"/>
      <c r="F56" s="1"/>
      <c r="G56" s="9" t="s">
        <v>1046</v>
      </c>
      <c r="H56" s="9" t="s">
        <v>192</v>
      </c>
      <c r="I56" s="9" t="s">
        <v>926</v>
      </c>
      <c r="J56" s="3" t="s">
        <v>1047</v>
      </c>
      <c r="K56" s="13" t="s">
        <v>1048</v>
      </c>
    </row>
    <row r="57" spans="1:11" x14ac:dyDescent="0.3">
      <c r="A57" s="1"/>
      <c r="B57" s="1"/>
      <c r="C57" s="9" t="s">
        <v>204</v>
      </c>
      <c r="D57" s="9" t="s">
        <v>205</v>
      </c>
      <c r="E57" s="9" t="s">
        <v>205</v>
      </c>
      <c r="F57" s="9" t="s">
        <v>22</v>
      </c>
      <c r="G57" s="11" t="s">
        <v>19</v>
      </c>
      <c r="H57" s="2"/>
      <c r="I57" s="7"/>
      <c r="J57" s="4"/>
      <c r="K57" s="12"/>
    </row>
    <row r="58" spans="1:11" x14ac:dyDescent="0.3">
      <c r="A58" s="1"/>
      <c r="B58" s="1"/>
      <c r="C58" s="1"/>
      <c r="D58" s="1"/>
      <c r="E58" s="1"/>
      <c r="F58" s="1"/>
      <c r="G58" s="9" t="s">
        <v>1049</v>
      </c>
      <c r="H58" s="9" t="s">
        <v>119</v>
      </c>
      <c r="I58" s="9" t="s">
        <v>926</v>
      </c>
      <c r="J58" s="3" t="s">
        <v>1050</v>
      </c>
      <c r="K58" s="13" t="s">
        <v>1051</v>
      </c>
    </row>
    <row r="59" spans="1:11" x14ac:dyDescent="0.3">
      <c r="A59" s="1"/>
      <c r="B59" s="1"/>
      <c r="C59" s="1"/>
      <c r="D59" s="1"/>
      <c r="E59" s="1"/>
      <c r="F59" s="1"/>
      <c r="G59" s="9" t="s">
        <v>1052</v>
      </c>
      <c r="H59" s="9" t="s">
        <v>119</v>
      </c>
      <c r="I59" s="9" t="s">
        <v>926</v>
      </c>
      <c r="J59" s="3" t="s">
        <v>1053</v>
      </c>
      <c r="K59" s="13" t="s">
        <v>1054</v>
      </c>
    </row>
    <row r="60" spans="1:11" x14ac:dyDescent="0.3">
      <c r="A60" s="1"/>
      <c r="B60" s="1"/>
      <c r="C60" s="1"/>
      <c r="D60" s="1"/>
      <c r="E60" s="1"/>
      <c r="F60" s="1"/>
      <c r="G60" s="9" t="s">
        <v>1055</v>
      </c>
      <c r="H60" s="9" t="s">
        <v>119</v>
      </c>
      <c r="I60" s="9" t="s">
        <v>926</v>
      </c>
      <c r="J60" s="3" t="s">
        <v>1056</v>
      </c>
      <c r="K60" s="13" t="s">
        <v>1057</v>
      </c>
    </row>
    <row r="61" spans="1:11" x14ac:dyDescent="0.3">
      <c r="A61" s="1"/>
      <c r="B61" s="1"/>
      <c r="C61" s="9" t="s">
        <v>209</v>
      </c>
      <c r="D61" s="9" t="s">
        <v>210</v>
      </c>
      <c r="E61" s="9" t="s">
        <v>210</v>
      </c>
      <c r="F61" s="9" t="s">
        <v>22</v>
      </c>
      <c r="G61" s="9" t="s">
        <v>1058</v>
      </c>
      <c r="H61" s="9" t="s">
        <v>119</v>
      </c>
      <c r="I61" s="9" t="s">
        <v>926</v>
      </c>
      <c r="J61" s="3" t="s">
        <v>1059</v>
      </c>
      <c r="K61" s="13" t="s">
        <v>1060</v>
      </c>
    </row>
    <row r="62" spans="1:11" x14ac:dyDescent="0.3">
      <c r="A62" s="9" t="s">
        <v>214</v>
      </c>
      <c r="B62" s="9" t="s">
        <v>215</v>
      </c>
      <c r="C62" s="11" t="s">
        <v>19</v>
      </c>
      <c r="D62" s="2"/>
      <c r="E62" s="2"/>
      <c r="F62" s="2"/>
      <c r="G62" s="2"/>
      <c r="H62" s="2"/>
      <c r="I62" s="7"/>
      <c r="J62" s="4"/>
      <c r="K62" s="12"/>
    </row>
    <row r="63" spans="1:11" x14ac:dyDescent="0.3">
      <c r="A63" s="1"/>
      <c r="B63" s="1"/>
      <c r="C63" s="9" t="s">
        <v>216</v>
      </c>
      <c r="D63" s="9" t="s">
        <v>217</v>
      </c>
      <c r="E63" s="9" t="s">
        <v>217</v>
      </c>
      <c r="F63" s="9" t="s">
        <v>22</v>
      </c>
      <c r="G63" s="11" t="s">
        <v>19</v>
      </c>
      <c r="H63" s="2"/>
      <c r="I63" s="7"/>
      <c r="J63" s="4"/>
      <c r="K63" s="12"/>
    </row>
    <row r="64" spans="1:11" x14ac:dyDescent="0.3">
      <c r="A64" s="1"/>
      <c r="B64" s="1"/>
      <c r="C64" s="1"/>
      <c r="D64" s="1"/>
      <c r="E64" s="1"/>
      <c r="F64" s="1"/>
      <c r="G64" s="9" t="s">
        <v>1061</v>
      </c>
      <c r="H64" s="9" t="s">
        <v>119</v>
      </c>
      <c r="I64" s="9" t="s">
        <v>926</v>
      </c>
      <c r="J64" s="3" t="s">
        <v>1062</v>
      </c>
      <c r="K64" s="13" t="s">
        <v>1063</v>
      </c>
    </row>
    <row r="65" spans="1:11" x14ac:dyDescent="0.3">
      <c r="A65" s="1"/>
      <c r="B65" s="1"/>
      <c r="C65" s="1"/>
      <c r="D65" s="1"/>
      <c r="E65" s="1"/>
      <c r="F65" s="1"/>
      <c r="G65" s="9" t="s">
        <v>1064</v>
      </c>
      <c r="H65" s="9" t="s">
        <v>119</v>
      </c>
      <c r="I65" s="9" t="s">
        <v>926</v>
      </c>
      <c r="J65" s="3" t="s">
        <v>1065</v>
      </c>
      <c r="K65" s="13" t="s">
        <v>1066</v>
      </c>
    </row>
    <row r="66" spans="1:11" x14ac:dyDescent="0.3">
      <c r="A66" s="1"/>
      <c r="B66" s="1"/>
      <c r="C66" s="1"/>
      <c r="D66" s="1"/>
      <c r="E66" s="1"/>
      <c r="F66" s="1"/>
      <c r="G66" s="9" t="s">
        <v>1067</v>
      </c>
      <c r="H66" s="9" t="s">
        <v>119</v>
      </c>
      <c r="I66" s="9" t="s">
        <v>926</v>
      </c>
      <c r="J66" s="3" t="s">
        <v>1068</v>
      </c>
      <c r="K66" s="13" t="s">
        <v>1069</v>
      </c>
    </row>
    <row r="67" spans="1:11" x14ac:dyDescent="0.3">
      <c r="A67" s="1"/>
      <c r="B67" s="1"/>
      <c r="C67" s="1"/>
      <c r="D67" s="1"/>
      <c r="E67" s="1"/>
      <c r="F67" s="1"/>
      <c r="G67" s="9" t="s">
        <v>1070</v>
      </c>
      <c r="H67" s="9" t="s">
        <v>119</v>
      </c>
      <c r="I67" s="9" t="s">
        <v>926</v>
      </c>
      <c r="J67" s="3" t="s">
        <v>1071</v>
      </c>
      <c r="K67" s="13" t="s">
        <v>1072</v>
      </c>
    </row>
    <row r="68" spans="1:11" x14ac:dyDescent="0.3">
      <c r="A68" s="1"/>
      <c r="B68" s="1"/>
      <c r="C68" s="9" t="s">
        <v>116</v>
      </c>
      <c r="D68" s="9" t="s">
        <v>117</v>
      </c>
      <c r="E68" s="9" t="s">
        <v>117</v>
      </c>
      <c r="F68" s="9" t="s">
        <v>22</v>
      </c>
      <c r="G68" s="11" t="s">
        <v>19</v>
      </c>
      <c r="H68" s="2"/>
      <c r="I68" s="7"/>
      <c r="J68" s="4"/>
      <c r="K68" s="12"/>
    </row>
    <row r="69" spans="1:11" x14ac:dyDescent="0.3">
      <c r="A69" s="1"/>
      <c r="B69" s="1"/>
      <c r="C69" s="1"/>
      <c r="D69" s="1"/>
      <c r="E69" s="1"/>
      <c r="F69" s="1"/>
      <c r="G69" s="9" t="s">
        <v>1073</v>
      </c>
      <c r="H69" s="9" t="s">
        <v>119</v>
      </c>
      <c r="I69" s="9" t="s">
        <v>926</v>
      </c>
      <c r="J69" s="3" t="s">
        <v>1074</v>
      </c>
      <c r="K69" s="13" t="s">
        <v>1075</v>
      </c>
    </row>
    <row r="70" spans="1:11" x14ac:dyDescent="0.3">
      <c r="A70" s="1"/>
      <c r="B70" s="1"/>
      <c r="C70" s="1"/>
      <c r="D70" s="1"/>
      <c r="E70" s="1"/>
      <c r="F70" s="1"/>
      <c r="G70" s="9" t="s">
        <v>1076</v>
      </c>
      <c r="H70" s="9" t="s">
        <v>119</v>
      </c>
      <c r="I70" s="9" t="s">
        <v>926</v>
      </c>
      <c r="J70" s="3" t="s">
        <v>1077</v>
      </c>
      <c r="K70" s="13" t="s">
        <v>1078</v>
      </c>
    </row>
    <row r="71" spans="1:11" x14ac:dyDescent="0.3">
      <c r="A71" s="1"/>
      <c r="B71" s="1"/>
      <c r="C71" s="1"/>
      <c r="D71" s="1"/>
      <c r="E71" s="1"/>
      <c r="F71" s="1"/>
      <c r="G71" s="9" t="s">
        <v>1079</v>
      </c>
      <c r="H71" s="9" t="s">
        <v>119</v>
      </c>
      <c r="I71" s="9" t="s">
        <v>926</v>
      </c>
      <c r="J71" s="3" t="s">
        <v>1080</v>
      </c>
      <c r="K71" s="13" t="s">
        <v>1081</v>
      </c>
    </row>
    <row r="72" spans="1:11" x14ac:dyDescent="0.3">
      <c r="A72" s="1"/>
      <c r="B72" s="1"/>
      <c r="C72" s="1"/>
      <c r="D72" s="1"/>
      <c r="E72" s="1"/>
      <c r="F72" s="1"/>
      <c r="G72" s="9" t="s">
        <v>1082</v>
      </c>
      <c r="H72" s="9" t="s">
        <v>119</v>
      </c>
      <c r="I72" s="9" t="s">
        <v>926</v>
      </c>
      <c r="J72" s="3" t="s">
        <v>1083</v>
      </c>
      <c r="K72" s="13" t="s">
        <v>1084</v>
      </c>
    </row>
    <row r="73" spans="1:11" x14ac:dyDescent="0.3">
      <c r="A73" s="1"/>
      <c r="B73" s="1"/>
      <c r="C73" s="1"/>
      <c r="D73" s="1"/>
      <c r="E73" s="1"/>
      <c r="F73" s="1"/>
      <c r="G73" s="9" t="s">
        <v>1085</v>
      </c>
      <c r="H73" s="9" t="s">
        <v>119</v>
      </c>
      <c r="I73" s="9" t="s">
        <v>926</v>
      </c>
      <c r="J73" s="3" t="s">
        <v>1086</v>
      </c>
      <c r="K73" s="13" t="s">
        <v>1087</v>
      </c>
    </row>
    <row r="74" spans="1:11" x14ac:dyDescent="0.3">
      <c r="A74" s="1"/>
      <c r="B74" s="1"/>
      <c r="C74" s="9" t="s">
        <v>136</v>
      </c>
      <c r="D74" s="9" t="s">
        <v>137</v>
      </c>
      <c r="E74" s="9" t="s">
        <v>137</v>
      </c>
      <c r="F74" s="9" t="s">
        <v>22</v>
      </c>
      <c r="G74" s="11" t="s">
        <v>19</v>
      </c>
      <c r="H74" s="2"/>
      <c r="I74" s="7"/>
      <c r="J74" s="4"/>
      <c r="K74" s="12"/>
    </row>
    <row r="75" spans="1:11" x14ac:dyDescent="0.3">
      <c r="A75" s="1"/>
      <c r="B75" s="1"/>
      <c r="C75" s="1"/>
      <c r="D75" s="1"/>
      <c r="E75" s="1"/>
      <c r="F75" s="1"/>
      <c r="G75" s="9" t="s">
        <v>1088</v>
      </c>
      <c r="H75" s="9" t="s">
        <v>119</v>
      </c>
      <c r="I75" s="9" t="s">
        <v>926</v>
      </c>
      <c r="J75" s="3" t="s">
        <v>1089</v>
      </c>
      <c r="K75" s="13" t="s">
        <v>1090</v>
      </c>
    </row>
    <row r="76" spans="1:11" x14ac:dyDescent="0.3">
      <c r="A76" s="1"/>
      <c r="B76" s="1"/>
      <c r="C76" s="1"/>
      <c r="D76" s="1"/>
      <c r="E76" s="1"/>
      <c r="F76" s="1"/>
      <c r="G76" s="9" t="s">
        <v>1091</v>
      </c>
      <c r="H76" s="9" t="s">
        <v>119</v>
      </c>
      <c r="I76" s="9" t="s">
        <v>926</v>
      </c>
      <c r="J76" s="3" t="s">
        <v>1092</v>
      </c>
      <c r="K76" s="13" t="s">
        <v>1093</v>
      </c>
    </row>
    <row r="77" spans="1:11" x14ac:dyDescent="0.3">
      <c r="A77" s="1"/>
      <c r="B77" s="1"/>
      <c r="C77" s="1"/>
      <c r="D77" s="1"/>
      <c r="E77" s="1"/>
      <c r="F77" s="1"/>
      <c r="G77" s="9" t="s">
        <v>1094</v>
      </c>
      <c r="H77" s="9" t="s">
        <v>119</v>
      </c>
      <c r="I77" s="9" t="s">
        <v>926</v>
      </c>
      <c r="J77" s="3" t="s">
        <v>1095</v>
      </c>
      <c r="K77" s="13" t="s">
        <v>1096</v>
      </c>
    </row>
    <row r="78" spans="1:11" x14ac:dyDescent="0.3">
      <c r="A78" s="1"/>
      <c r="B78" s="1"/>
      <c r="C78" s="1"/>
      <c r="D78" s="1"/>
      <c r="E78" s="1"/>
      <c r="F78" s="1"/>
      <c r="G78" s="9" t="s">
        <v>1097</v>
      </c>
      <c r="H78" s="9" t="s">
        <v>119</v>
      </c>
      <c r="I78" s="9" t="s">
        <v>926</v>
      </c>
      <c r="J78" s="3" t="s">
        <v>1098</v>
      </c>
      <c r="K78" s="13" t="s">
        <v>1099</v>
      </c>
    </row>
    <row r="79" spans="1:11" x14ac:dyDescent="0.3">
      <c r="A79" s="1"/>
      <c r="B79" s="1"/>
      <c r="C79" s="1"/>
      <c r="D79" s="1"/>
      <c r="E79" s="1"/>
      <c r="F79" s="1"/>
      <c r="G79" s="9" t="s">
        <v>1100</v>
      </c>
      <c r="H79" s="9" t="s">
        <v>119</v>
      </c>
      <c r="I79" s="9" t="s">
        <v>926</v>
      </c>
      <c r="J79" s="3" t="s">
        <v>1101</v>
      </c>
      <c r="K79" s="13" t="s">
        <v>1102</v>
      </c>
    </row>
    <row r="80" spans="1:11" x14ac:dyDescent="0.3">
      <c r="A80" s="1"/>
      <c r="B80" s="1"/>
      <c r="C80" s="9" t="s">
        <v>147</v>
      </c>
      <c r="D80" s="9" t="s">
        <v>148</v>
      </c>
      <c r="E80" s="11" t="s">
        <v>19</v>
      </c>
      <c r="F80" s="2"/>
      <c r="G80" s="2"/>
      <c r="H80" s="2"/>
      <c r="I80" s="7"/>
      <c r="J80" s="4"/>
      <c r="K80" s="12"/>
    </row>
    <row r="81" spans="1:11" x14ac:dyDescent="0.3">
      <c r="A81" s="1"/>
      <c r="B81" s="1"/>
      <c r="C81" s="1"/>
      <c r="D81" s="1"/>
      <c r="E81" s="9" t="s">
        <v>272</v>
      </c>
      <c r="F81" s="9" t="s">
        <v>22</v>
      </c>
      <c r="G81" s="11" t="s">
        <v>19</v>
      </c>
      <c r="H81" s="2"/>
      <c r="I81" s="7"/>
      <c r="J81" s="4"/>
      <c r="K81" s="12"/>
    </row>
    <row r="82" spans="1:11" x14ac:dyDescent="0.3">
      <c r="A82" s="1"/>
      <c r="B82" s="1"/>
      <c r="C82" s="1"/>
      <c r="D82" s="1"/>
      <c r="E82" s="1"/>
      <c r="F82" s="1"/>
      <c r="G82" s="9" t="s">
        <v>1103</v>
      </c>
      <c r="H82" s="9" t="s">
        <v>119</v>
      </c>
      <c r="I82" s="9" t="s">
        <v>926</v>
      </c>
      <c r="J82" s="3" t="s">
        <v>1104</v>
      </c>
      <c r="K82" s="13" t="s">
        <v>1105</v>
      </c>
    </row>
    <row r="83" spans="1:11" x14ac:dyDescent="0.3">
      <c r="A83" s="1"/>
      <c r="B83" s="1"/>
      <c r="C83" s="1"/>
      <c r="D83" s="1"/>
      <c r="E83" s="1"/>
      <c r="F83" s="1"/>
      <c r="G83" s="9" t="s">
        <v>1106</v>
      </c>
      <c r="H83" s="9" t="s">
        <v>119</v>
      </c>
      <c r="I83" s="9" t="s">
        <v>926</v>
      </c>
      <c r="J83" s="3" t="s">
        <v>1107</v>
      </c>
      <c r="K83" s="13" t="s">
        <v>1108</v>
      </c>
    </row>
    <row r="84" spans="1:11" x14ac:dyDescent="0.3">
      <c r="A84" s="1"/>
      <c r="B84" s="1"/>
      <c r="C84" s="1"/>
      <c r="D84" s="1"/>
      <c r="E84" s="1"/>
      <c r="F84" s="1"/>
      <c r="G84" s="9" t="s">
        <v>1109</v>
      </c>
      <c r="H84" s="9" t="s">
        <v>119</v>
      </c>
      <c r="I84" s="9" t="s">
        <v>926</v>
      </c>
      <c r="J84" s="3" t="s">
        <v>1110</v>
      </c>
      <c r="K84" s="13" t="s">
        <v>1111</v>
      </c>
    </row>
    <row r="85" spans="1:11" x14ac:dyDescent="0.3">
      <c r="A85" s="1"/>
      <c r="B85" s="1"/>
      <c r="C85" s="1"/>
      <c r="D85" s="1"/>
      <c r="E85" s="1"/>
      <c r="F85" s="1"/>
      <c r="G85" s="9" t="s">
        <v>1112</v>
      </c>
      <c r="H85" s="9" t="s">
        <v>119</v>
      </c>
      <c r="I85" s="9" t="s">
        <v>926</v>
      </c>
      <c r="J85" s="3" t="s">
        <v>1113</v>
      </c>
      <c r="K85" s="13" t="s">
        <v>1114</v>
      </c>
    </row>
    <row r="86" spans="1:11" x14ac:dyDescent="0.3">
      <c r="A86" s="1"/>
      <c r="B86" s="1"/>
      <c r="C86" s="1"/>
      <c r="D86" s="1"/>
      <c r="E86" s="1"/>
      <c r="F86" s="1"/>
      <c r="G86" s="9" t="s">
        <v>1115</v>
      </c>
      <c r="H86" s="9" t="s">
        <v>119</v>
      </c>
      <c r="I86" s="9" t="s">
        <v>926</v>
      </c>
      <c r="J86" s="3" t="s">
        <v>1116</v>
      </c>
      <c r="K86" s="13" t="s">
        <v>1117</v>
      </c>
    </row>
    <row r="87" spans="1:11" x14ac:dyDescent="0.3">
      <c r="A87" s="1"/>
      <c r="B87" s="1"/>
      <c r="C87" s="1"/>
      <c r="D87" s="1"/>
      <c r="E87" s="9" t="s">
        <v>300</v>
      </c>
      <c r="F87" s="9" t="s">
        <v>22</v>
      </c>
      <c r="G87" s="11" t="s">
        <v>19</v>
      </c>
      <c r="H87" s="2"/>
      <c r="I87" s="7"/>
      <c r="J87" s="4"/>
      <c r="K87" s="12"/>
    </row>
    <row r="88" spans="1:11" x14ac:dyDescent="0.3">
      <c r="A88" s="1"/>
      <c r="B88" s="1"/>
      <c r="C88" s="1"/>
      <c r="D88" s="1"/>
      <c r="E88" s="1"/>
      <c r="F88" s="1"/>
      <c r="G88" s="9" t="s">
        <v>1118</v>
      </c>
      <c r="H88" s="9" t="s">
        <v>119</v>
      </c>
      <c r="I88" s="9" t="s">
        <v>926</v>
      </c>
      <c r="J88" s="3" t="s">
        <v>1119</v>
      </c>
      <c r="K88" s="13" t="s">
        <v>1120</v>
      </c>
    </row>
    <row r="89" spans="1:11" x14ac:dyDescent="0.3">
      <c r="A89" s="1"/>
      <c r="B89" s="1"/>
      <c r="C89" s="1"/>
      <c r="D89" s="1"/>
      <c r="E89" s="1"/>
      <c r="F89" s="1"/>
      <c r="G89" s="9" t="s">
        <v>1121</v>
      </c>
      <c r="H89" s="9" t="s">
        <v>119</v>
      </c>
      <c r="I89" s="9" t="s">
        <v>926</v>
      </c>
      <c r="J89" s="3" t="s">
        <v>1122</v>
      </c>
      <c r="K89" s="13" t="s">
        <v>1123</v>
      </c>
    </row>
    <row r="90" spans="1:11" x14ac:dyDescent="0.3">
      <c r="A90" s="1"/>
      <c r="B90" s="1"/>
      <c r="C90" s="1"/>
      <c r="D90" s="1"/>
      <c r="E90" s="1"/>
      <c r="F90" s="1"/>
      <c r="G90" s="9" t="s">
        <v>1124</v>
      </c>
      <c r="H90" s="9" t="s">
        <v>119</v>
      </c>
      <c r="I90" s="9" t="s">
        <v>926</v>
      </c>
      <c r="J90" s="3" t="s">
        <v>1125</v>
      </c>
      <c r="K90" s="13" t="s">
        <v>1126</v>
      </c>
    </row>
    <row r="91" spans="1:11" x14ac:dyDescent="0.3">
      <c r="A91" s="1"/>
      <c r="B91" s="1"/>
      <c r="C91" s="1"/>
      <c r="D91" s="1"/>
      <c r="E91" s="1"/>
      <c r="F91" s="1"/>
      <c r="G91" s="9" t="s">
        <v>1127</v>
      </c>
      <c r="H91" s="9" t="s">
        <v>119</v>
      </c>
      <c r="I91" s="9" t="s">
        <v>926</v>
      </c>
      <c r="J91" s="3" t="s">
        <v>1128</v>
      </c>
      <c r="K91" s="13" t="s">
        <v>1129</v>
      </c>
    </row>
    <row r="92" spans="1:11" x14ac:dyDescent="0.3">
      <c r="A92" s="1"/>
      <c r="B92" s="1"/>
      <c r="C92" s="1"/>
      <c r="D92" s="1"/>
      <c r="E92" s="1"/>
      <c r="F92" s="1"/>
      <c r="G92" s="9" t="s">
        <v>1130</v>
      </c>
      <c r="H92" s="9" t="s">
        <v>119</v>
      </c>
      <c r="I92" s="9" t="s">
        <v>926</v>
      </c>
      <c r="J92" s="3" t="s">
        <v>1131</v>
      </c>
      <c r="K92" s="13" t="s">
        <v>1132</v>
      </c>
    </row>
    <row r="93" spans="1:11" x14ac:dyDescent="0.3">
      <c r="A93" s="1"/>
      <c r="B93" s="1"/>
      <c r="C93" s="1"/>
      <c r="D93" s="1"/>
      <c r="E93" s="1"/>
      <c r="F93" s="1"/>
      <c r="G93" s="9" t="s">
        <v>1133</v>
      </c>
      <c r="H93" s="9" t="s">
        <v>119</v>
      </c>
      <c r="I93" s="9" t="s">
        <v>926</v>
      </c>
      <c r="J93" s="3" t="s">
        <v>1134</v>
      </c>
      <c r="K93" s="13" t="s">
        <v>1135</v>
      </c>
    </row>
    <row r="94" spans="1:11" x14ac:dyDescent="0.3">
      <c r="A94" s="1"/>
      <c r="B94" s="1"/>
      <c r="C94" s="1"/>
      <c r="D94" s="1"/>
      <c r="E94" s="1"/>
      <c r="F94" s="1"/>
      <c r="G94" s="9" t="s">
        <v>1136</v>
      </c>
      <c r="H94" s="9" t="s">
        <v>119</v>
      </c>
      <c r="I94" s="9" t="s">
        <v>926</v>
      </c>
      <c r="J94" s="3" t="s">
        <v>1137</v>
      </c>
      <c r="K94" s="13" t="s">
        <v>1138</v>
      </c>
    </row>
    <row r="95" spans="1:11" x14ac:dyDescent="0.3">
      <c r="A95" s="1"/>
      <c r="B95" s="1"/>
      <c r="C95" s="9" t="s">
        <v>88</v>
      </c>
      <c r="D95" s="9" t="s">
        <v>89</v>
      </c>
      <c r="E95" s="9" t="s">
        <v>89</v>
      </c>
      <c r="F95" s="9" t="s">
        <v>22</v>
      </c>
      <c r="G95" s="11" t="s">
        <v>19</v>
      </c>
      <c r="H95" s="2"/>
      <c r="I95" s="7"/>
      <c r="J95" s="4"/>
      <c r="K95" s="12"/>
    </row>
    <row r="96" spans="1:11" x14ac:dyDescent="0.3">
      <c r="A96" s="1"/>
      <c r="B96" s="1"/>
      <c r="C96" s="1"/>
      <c r="D96" s="1"/>
      <c r="E96" s="1"/>
      <c r="F96" s="1"/>
      <c r="G96" s="9" t="s">
        <v>1139</v>
      </c>
      <c r="H96" s="9" t="s">
        <v>119</v>
      </c>
      <c r="I96" s="9" t="s">
        <v>926</v>
      </c>
      <c r="J96" s="3" t="s">
        <v>1140</v>
      </c>
      <c r="K96" s="13" t="s">
        <v>1141</v>
      </c>
    </row>
    <row r="97" spans="1:11" x14ac:dyDescent="0.3">
      <c r="A97" s="1"/>
      <c r="B97" s="1"/>
      <c r="C97" s="1"/>
      <c r="D97" s="1"/>
      <c r="E97" s="1"/>
      <c r="F97" s="1"/>
      <c r="G97" s="9" t="s">
        <v>1142</v>
      </c>
      <c r="H97" s="9" t="s">
        <v>119</v>
      </c>
      <c r="I97" s="9" t="s">
        <v>926</v>
      </c>
      <c r="J97" s="3" t="s">
        <v>1143</v>
      </c>
      <c r="K97" s="13" t="s">
        <v>1144</v>
      </c>
    </row>
    <row r="98" spans="1:11" x14ac:dyDescent="0.3">
      <c r="A98" s="1"/>
      <c r="B98" s="1"/>
      <c r="C98" s="9" t="s">
        <v>322</v>
      </c>
      <c r="D98" s="9" t="s">
        <v>323</v>
      </c>
      <c r="E98" s="9" t="s">
        <v>323</v>
      </c>
      <c r="F98" s="9" t="s">
        <v>22</v>
      </c>
      <c r="G98" s="11" t="s">
        <v>19</v>
      </c>
      <c r="H98" s="2"/>
      <c r="I98" s="7"/>
      <c r="J98" s="4"/>
      <c r="K98" s="12"/>
    </row>
    <row r="99" spans="1:11" x14ac:dyDescent="0.3">
      <c r="A99" s="1"/>
      <c r="B99" s="1"/>
      <c r="C99" s="1"/>
      <c r="D99" s="1"/>
      <c r="E99" s="1"/>
      <c r="F99" s="1"/>
      <c r="G99" s="9" t="s">
        <v>1145</v>
      </c>
      <c r="H99" s="9" t="s">
        <v>119</v>
      </c>
      <c r="I99" s="9" t="s">
        <v>926</v>
      </c>
      <c r="J99" s="3" t="s">
        <v>1146</v>
      </c>
      <c r="K99" s="13" t="s">
        <v>1147</v>
      </c>
    </row>
    <row r="100" spans="1:11" x14ac:dyDescent="0.3">
      <c r="A100" s="1"/>
      <c r="B100" s="1"/>
      <c r="C100" s="1"/>
      <c r="D100" s="1"/>
      <c r="E100" s="1"/>
      <c r="F100" s="1"/>
      <c r="G100" s="9" t="s">
        <v>1148</v>
      </c>
      <c r="H100" s="9" t="s">
        <v>119</v>
      </c>
      <c r="I100" s="9" t="s">
        <v>926</v>
      </c>
      <c r="J100" s="3" t="s">
        <v>1149</v>
      </c>
      <c r="K100" s="13" t="s">
        <v>1150</v>
      </c>
    </row>
    <row r="101" spans="1:11" x14ac:dyDescent="0.3">
      <c r="A101" s="1"/>
      <c r="B101" s="1"/>
      <c r="C101" s="9" t="s">
        <v>93</v>
      </c>
      <c r="D101" s="9" t="s">
        <v>94</v>
      </c>
      <c r="E101" s="11" t="s">
        <v>19</v>
      </c>
      <c r="F101" s="2"/>
      <c r="G101" s="2"/>
      <c r="H101" s="2"/>
      <c r="I101" s="7"/>
      <c r="J101" s="4"/>
      <c r="K101" s="12"/>
    </row>
    <row r="102" spans="1:11" x14ac:dyDescent="0.3">
      <c r="A102" s="1"/>
      <c r="B102" s="1"/>
      <c r="C102" s="1"/>
      <c r="D102" s="1"/>
      <c r="E102" s="9" t="s">
        <v>94</v>
      </c>
      <c r="F102" s="9" t="s">
        <v>22</v>
      </c>
      <c r="G102" s="9" t="s">
        <v>1151</v>
      </c>
      <c r="H102" s="9" t="s">
        <v>119</v>
      </c>
      <c r="I102" s="9" t="s">
        <v>926</v>
      </c>
      <c r="J102" s="3" t="s">
        <v>1152</v>
      </c>
      <c r="K102" s="13" t="s">
        <v>1153</v>
      </c>
    </row>
    <row r="103" spans="1:11" x14ac:dyDescent="0.3">
      <c r="A103" s="1"/>
      <c r="B103" s="1"/>
      <c r="C103" s="1"/>
      <c r="D103" s="1"/>
      <c r="E103" s="9" t="s">
        <v>164</v>
      </c>
      <c r="F103" s="9" t="s">
        <v>22</v>
      </c>
      <c r="G103" s="11" t="s">
        <v>19</v>
      </c>
      <c r="H103" s="2"/>
      <c r="I103" s="7"/>
      <c r="J103" s="4"/>
      <c r="K103" s="12"/>
    </row>
    <row r="104" spans="1:11" x14ac:dyDescent="0.3">
      <c r="A104" s="1"/>
      <c r="B104" s="1"/>
      <c r="C104" s="1"/>
      <c r="D104" s="1"/>
      <c r="E104" s="1"/>
      <c r="F104" s="1"/>
      <c r="G104" s="9" t="s">
        <v>1154</v>
      </c>
      <c r="H104" s="9" t="s">
        <v>119</v>
      </c>
      <c r="I104" s="9" t="s">
        <v>926</v>
      </c>
      <c r="J104" s="3" t="s">
        <v>1155</v>
      </c>
      <c r="K104" s="13" t="s">
        <v>1156</v>
      </c>
    </row>
    <row r="105" spans="1:11" x14ac:dyDescent="0.3">
      <c r="A105" s="1"/>
      <c r="B105" s="1"/>
      <c r="C105" s="1"/>
      <c r="D105" s="1"/>
      <c r="E105" s="1"/>
      <c r="F105" s="1"/>
      <c r="G105" s="9" t="s">
        <v>1157</v>
      </c>
      <c r="H105" s="9" t="s">
        <v>119</v>
      </c>
      <c r="I105" s="9" t="s">
        <v>926</v>
      </c>
      <c r="J105" s="3" t="s">
        <v>1158</v>
      </c>
      <c r="K105" s="13" t="s">
        <v>1159</v>
      </c>
    </row>
    <row r="106" spans="1:11" x14ac:dyDescent="0.3">
      <c r="A106" s="1"/>
      <c r="B106" s="1"/>
      <c r="C106" s="9" t="s">
        <v>354</v>
      </c>
      <c r="D106" s="9" t="s">
        <v>355</v>
      </c>
      <c r="E106" s="9" t="s">
        <v>355</v>
      </c>
      <c r="F106" s="9" t="s">
        <v>22</v>
      </c>
      <c r="G106" s="11" t="s">
        <v>19</v>
      </c>
      <c r="H106" s="2"/>
      <c r="I106" s="7"/>
      <c r="J106" s="4"/>
      <c r="K106" s="12"/>
    </row>
    <row r="107" spans="1:11" x14ac:dyDescent="0.3">
      <c r="A107" s="1"/>
      <c r="B107" s="1"/>
      <c r="C107" s="1"/>
      <c r="D107" s="1"/>
      <c r="E107" s="1"/>
      <c r="F107" s="1"/>
      <c r="G107" s="9" t="s">
        <v>1160</v>
      </c>
      <c r="H107" s="9" t="s">
        <v>119</v>
      </c>
      <c r="I107" s="9" t="s">
        <v>926</v>
      </c>
      <c r="J107" s="3" t="s">
        <v>129</v>
      </c>
      <c r="K107" s="13" t="s">
        <v>1161</v>
      </c>
    </row>
    <row r="108" spans="1:11" x14ac:dyDescent="0.3">
      <c r="A108" s="1"/>
      <c r="B108" s="1"/>
      <c r="C108" s="1"/>
      <c r="D108" s="1"/>
      <c r="E108" s="1"/>
      <c r="F108" s="1"/>
      <c r="G108" s="9" t="s">
        <v>1162</v>
      </c>
      <c r="H108" s="9" t="s">
        <v>119</v>
      </c>
      <c r="I108" s="9" t="s">
        <v>926</v>
      </c>
      <c r="J108" s="3" t="s">
        <v>1163</v>
      </c>
      <c r="K108" s="13" t="s">
        <v>1164</v>
      </c>
    </row>
    <row r="109" spans="1:11" x14ac:dyDescent="0.3">
      <c r="A109" s="1"/>
      <c r="B109" s="1"/>
      <c r="C109" s="1"/>
      <c r="D109" s="1"/>
      <c r="E109" s="1"/>
      <c r="F109" s="1"/>
      <c r="G109" s="9" t="s">
        <v>1165</v>
      </c>
      <c r="H109" s="9" t="s">
        <v>119</v>
      </c>
      <c r="I109" s="9" t="s">
        <v>926</v>
      </c>
      <c r="J109" s="3" t="s">
        <v>1166</v>
      </c>
      <c r="K109" s="13" t="s">
        <v>1167</v>
      </c>
    </row>
    <row r="110" spans="1:11" x14ac:dyDescent="0.3">
      <c r="A110" s="1"/>
      <c r="B110" s="1"/>
      <c r="C110" s="1"/>
      <c r="D110" s="1"/>
      <c r="E110" s="1"/>
      <c r="F110" s="1"/>
      <c r="G110" s="9" t="s">
        <v>1168</v>
      </c>
      <c r="H110" s="9" t="s">
        <v>119</v>
      </c>
      <c r="I110" s="9" t="s">
        <v>926</v>
      </c>
      <c r="J110" s="3" t="s">
        <v>1169</v>
      </c>
      <c r="K110" s="13" t="s">
        <v>71</v>
      </c>
    </row>
    <row r="111" spans="1:11" x14ac:dyDescent="0.3">
      <c r="A111" s="1"/>
      <c r="B111" s="1"/>
      <c r="C111" s="1"/>
      <c r="D111" s="1"/>
      <c r="E111" s="1"/>
      <c r="F111" s="1"/>
      <c r="G111" s="9" t="s">
        <v>1170</v>
      </c>
      <c r="H111" s="9" t="s">
        <v>119</v>
      </c>
      <c r="I111" s="9" t="s">
        <v>926</v>
      </c>
      <c r="J111" s="3" t="s">
        <v>1171</v>
      </c>
      <c r="K111" s="13" t="s">
        <v>1172</v>
      </c>
    </row>
    <row r="112" spans="1:11" x14ac:dyDescent="0.3">
      <c r="A112" s="1"/>
      <c r="B112" s="1"/>
      <c r="C112" s="9" t="s">
        <v>177</v>
      </c>
      <c r="D112" s="9" t="s">
        <v>178</v>
      </c>
      <c r="E112" s="9" t="s">
        <v>178</v>
      </c>
      <c r="F112" s="9" t="s">
        <v>22</v>
      </c>
      <c r="G112" s="9" t="s">
        <v>1173</v>
      </c>
      <c r="H112" s="9" t="s">
        <v>119</v>
      </c>
      <c r="I112" s="9" t="s">
        <v>926</v>
      </c>
      <c r="J112" s="3" t="s">
        <v>1174</v>
      </c>
      <c r="K112" s="13" t="s">
        <v>1175</v>
      </c>
    </row>
    <row r="113" spans="1:11" x14ac:dyDescent="0.3">
      <c r="A113" s="1"/>
      <c r="B113" s="1"/>
      <c r="C113" s="9" t="s">
        <v>185</v>
      </c>
      <c r="D113" s="9" t="s">
        <v>186</v>
      </c>
      <c r="E113" s="9" t="s">
        <v>186</v>
      </c>
      <c r="F113" s="9" t="s">
        <v>22</v>
      </c>
      <c r="G113" s="11" t="s">
        <v>19</v>
      </c>
      <c r="H113" s="2"/>
      <c r="I113" s="7"/>
      <c r="J113" s="4"/>
      <c r="K113" s="12"/>
    </row>
    <row r="114" spans="1:11" x14ac:dyDescent="0.3">
      <c r="A114" s="1"/>
      <c r="B114" s="1"/>
      <c r="C114" s="1"/>
      <c r="D114" s="1"/>
      <c r="E114" s="1"/>
      <c r="F114" s="1"/>
      <c r="G114" s="9" t="s">
        <v>1176</v>
      </c>
      <c r="H114" s="9" t="s">
        <v>119</v>
      </c>
      <c r="I114" s="9" t="s">
        <v>926</v>
      </c>
      <c r="J114" s="3" t="s">
        <v>1177</v>
      </c>
      <c r="K114" s="13" t="s">
        <v>1178</v>
      </c>
    </row>
    <row r="115" spans="1:11" x14ac:dyDescent="0.3">
      <c r="A115" s="1"/>
      <c r="B115" s="1"/>
      <c r="C115" s="1"/>
      <c r="D115" s="1"/>
      <c r="E115" s="1"/>
      <c r="F115" s="1"/>
      <c r="G115" s="9" t="s">
        <v>1179</v>
      </c>
      <c r="H115" s="9" t="s">
        <v>119</v>
      </c>
      <c r="I115" s="9" t="s">
        <v>926</v>
      </c>
      <c r="J115" s="3" t="s">
        <v>1180</v>
      </c>
      <c r="K115" s="13" t="s">
        <v>1181</v>
      </c>
    </row>
    <row r="116" spans="1:11" x14ac:dyDescent="0.3">
      <c r="A116" s="1"/>
      <c r="B116" s="1"/>
      <c r="C116" s="9" t="s">
        <v>47</v>
      </c>
      <c r="D116" s="9" t="s">
        <v>48</v>
      </c>
      <c r="E116" s="9" t="s">
        <v>48</v>
      </c>
      <c r="F116" s="9" t="s">
        <v>22</v>
      </c>
      <c r="G116" s="11" t="s">
        <v>19</v>
      </c>
      <c r="H116" s="2"/>
      <c r="I116" s="7"/>
      <c r="J116" s="4"/>
      <c r="K116" s="12"/>
    </row>
    <row r="117" spans="1:11" x14ac:dyDescent="0.3">
      <c r="A117" s="1"/>
      <c r="B117" s="1"/>
      <c r="C117" s="1"/>
      <c r="D117" s="1"/>
      <c r="E117" s="1"/>
      <c r="F117" s="1"/>
      <c r="G117" s="9" t="s">
        <v>1182</v>
      </c>
      <c r="H117" s="9" t="s">
        <v>192</v>
      </c>
      <c r="I117" s="9" t="s">
        <v>926</v>
      </c>
      <c r="J117" s="3" t="s">
        <v>1183</v>
      </c>
      <c r="K117" s="13" t="s">
        <v>1184</v>
      </c>
    </row>
    <row r="118" spans="1:11" x14ac:dyDescent="0.3">
      <c r="A118" s="1"/>
      <c r="B118" s="1"/>
      <c r="C118" s="1"/>
      <c r="D118" s="1"/>
      <c r="E118" s="1"/>
      <c r="F118" s="1"/>
      <c r="G118" s="9" t="s">
        <v>1185</v>
      </c>
      <c r="H118" s="9" t="s">
        <v>192</v>
      </c>
      <c r="I118" s="9" t="s">
        <v>926</v>
      </c>
      <c r="J118" s="3" t="s">
        <v>1186</v>
      </c>
      <c r="K118" s="13" t="s">
        <v>1187</v>
      </c>
    </row>
    <row r="119" spans="1:11" x14ac:dyDescent="0.3">
      <c r="A119" s="1"/>
      <c r="B119" s="1"/>
      <c r="C119" s="1"/>
      <c r="D119" s="1"/>
      <c r="E119" s="1"/>
      <c r="F119" s="1"/>
      <c r="G119" s="9" t="s">
        <v>1188</v>
      </c>
      <c r="H119" s="9" t="s">
        <v>192</v>
      </c>
      <c r="I119" s="9" t="s">
        <v>926</v>
      </c>
      <c r="J119" s="3" t="s">
        <v>1189</v>
      </c>
      <c r="K119" s="13" t="s">
        <v>1190</v>
      </c>
    </row>
    <row r="120" spans="1:11" x14ac:dyDescent="0.3">
      <c r="A120" s="1"/>
      <c r="B120" s="1"/>
      <c r="C120" s="9" t="s">
        <v>395</v>
      </c>
      <c r="D120" s="9" t="s">
        <v>396</v>
      </c>
      <c r="E120" s="9" t="s">
        <v>396</v>
      </c>
      <c r="F120" s="9" t="s">
        <v>22</v>
      </c>
      <c r="G120" s="9" t="s">
        <v>1191</v>
      </c>
      <c r="H120" s="9" t="s">
        <v>119</v>
      </c>
      <c r="I120" s="9" t="s">
        <v>926</v>
      </c>
      <c r="J120" s="3" t="s">
        <v>1192</v>
      </c>
      <c r="K120" s="13" t="s">
        <v>1193</v>
      </c>
    </row>
    <row r="121" spans="1:11" x14ac:dyDescent="0.3">
      <c r="A121" s="1"/>
      <c r="B121" s="1"/>
      <c r="C121" s="9" t="s">
        <v>403</v>
      </c>
      <c r="D121" s="9" t="s">
        <v>404</v>
      </c>
      <c r="E121" s="9" t="s">
        <v>404</v>
      </c>
      <c r="F121" s="9" t="s">
        <v>22</v>
      </c>
      <c r="G121" s="9" t="s">
        <v>1194</v>
      </c>
      <c r="H121" s="9" t="s">
        <v>119</v>
      </c>
      <c r="I121" s="9" t="s">
        <v>926</v>
      </c>
      <c r="J121" s="3" t="s">
        <v>1195</v>
      </c>
      <c r="K121" s="13" t="s">
        <v>1196</v>
      </c>
    </row>
    <row r="122" spans="1:11" x14ac:dyDescent="0.3">
      <c r="A122" s="1"/>
      <c r="B122" s="1"/>
      <c r="C122" s="9" t="s">
        <v>627</v>
      </c>
      <c r="D122" s="9" t="s">
        <v>628</v>
      </c>
      <c r="E122" s="9" t="s">
        <v>628</v>
      </c>
      <c r="F122" s="9" t="s">
        <v>22</v>
      </c>
      <c r="G122" s="9" t="s">
        <v>1197</v>
      </c>
      <c r="H122" s="9" t="s">
        <v>119</v>
      </c>
      <c r="I122" s="9" t="s">
        <v>926</v>
      </c>
      <c r="J122" s="3" t="s">
        <v>1198</v>
      </c>
      <c r="K122" s="13" t="s">
        <v>1199</v>
      </c>
    </row>
    <row r="123" spans="1:11" x14ac:dyDescent="0.3">
      <c r="A123" s="1"/>
      <c r="B123" s="1"/>
      <c r="C123" s="9" t="s">
        <v>204</v>
      </c>
      <c r="D123" s="9" t="s">
        <v>205</v>
      </c>
      <c r="E123" s="9" t="s">
        <v>205</v>
      </c>
      <c r="F123" s="9" t="s">
        <v>22</v>
      </c>
      <c r="G123" s="11" t="s">
        <v>19</v>
      </c>
      <c r="H123" s="2"/>
      <c r="I123" s="7"/>
      <c r="J123" s="4"/>
      <c r="K123" s="12"/>
    </row>
    <row r="124" spans="1:11" x14ac:dyDescent="0.3">
      <c r="A124" s="1"/>
      <c r="B124" s="1"/>
      <c r="C124" s="1"/>
      <c r="D124" s="1"/>
      <c r="E124" s="1"/>
      <c r="F124" s="1"/>
      <c r="G124" s="9" t="s">
        <v>1200</v>
      </c>
      <c r="H124" s="9" t="s">
        <v>119</v>
      </c>
      <c r="I124" s="9" t="s">
        <v>926</v>
      </c>
      <c r="J124" s="3" t="s">
        <v>1201</v>
      </c>
      <c r="K124" s="13" t="s">
        <v>1202</v>
      </c>
    </row>
    <row r="125" spans="1:11" x14ac:dyDescent="0.3">
      <c r="A125" s="1"/>
      <c r="B125" s="1"/>
      <c r="C125" s="1"/>
      <c r="D125" s="1"/>
      <c r="E125" s="1"/>
      <c r="F125" s="1"/>
      <c r="G125" s="9" t="s">
        <v>1203</v>
      </c>
      <c r="H125" s="9" t="s">
        <v>119</v>
      </c>
      <c r="I125" s="9" t="s">
        <v>926</v>
      </c>
      <c r="J125" s="3" t="s">
        <v>1204</v>
      </c>
      <c r="K125" s="13" t="s">
        <v>1205</v>
      </c>
    </row>
    <row r="126" spans="1:11" x14ac:dyDescent="0.3">
      <c r="A126" s="1"/>
      <c r="B126" s="1"/>
      <c r="C126" s="1"/>
      <c r="D126" s="1"/>
      <c r="E126" s="1"/>
      <c r="F126" s="1"/>
      <c r="G126" s="9" t="s">
        <v>1206</v>
      </c>
      <c r="H126" s="9" t="s">
        <v>119</v>
      </c>
      <c r="I126" s="9" t="s">
        <v>926</v>
      </c>
      <c r="J126" s="3" t="s">
        <v>1207</v>
      </c>
      <c r="K126" s="13" t="s">
        <v>1208</v>
      </c>
    </row>
    <row r="127" spans="1:11" x14ac:dyDescent="0.3">
      <c r="A127" s="1"/>
      <c r="B127" s="1"/>
      <c r="C127" s="9" t="s">
        <v>1209</v>
      </c>
      <c r="D127" s="9" t="s">
        <v>1210</v>
      </c>
      <c r="E127" s="9" t="s">
        <v>1210</v>
      </c>
      <c r="F127" s="9" t="s">
        <v>22</v>
      </c>
      <c r="G127" s="9" t="s">
        <v>1211</v>
      </c>
      <c r="H127" s="9" t="s">
        <v>119</v>
      </c>
      <c r="I127" s="9" t="s">
        <v>926</v>
      </c>
      <c r="J127" s="3" t="s">
        <v>1212</v>
      </c>
      <c r="K127" s="13" t="s">
        <v>1213</v>
      </c>
    </row>
    <row r="128" spans="1:11" x14ac:dyDescent="0.3">
      <c r="A128" s="9" t="s">
        <v>17</v>
      </c>
      <c r="B128" s="9" t="s">
        <v>18</v>
      </c>
      <c r="C128" s="11" t="s">
        <v>19</v>
      </c>
      <c r="D128" s="2"/>
      <c r="E128" s="2"/>
      <c r="F128" s="2"/>
      <c r="G128" s="2"/>
      <c r="H128" s="2"/>
      <c r="I128" s="7"/>
      <c r="J128" s="4"/>
      <c r="K128" s="12"/>
    </row>
    <row r="129" spans="1:11" x14ac:dyDescent="0.3">
      <c r="A129" s="1"/>
      <c r="B129" s="1"/>
      <c r="C129" s="9" t="s">
        <v>65</v>
      </c>
      <c r="D129" s="9" t="s">
        <v>66</v>
      </c>
      <c r="E129" s="9" t="s">
        <v>66</v>
      </c>
      <c r="F129" s="9" t="s">
        <v>22</v>
      </c>
      <c r="G129" s="11" t="s">
        <v>19</v>
      </c>
      <c r="H129" s="2"/>
      <c r="I129" s="7"/>
      <c r="J129" s="4"/>
      <c r="K129" s="12"/>
    </row>
    <row r="130" spans="1:11" x14ac:dyDescent="0.3">
      <c r="A130" s="1"/>
      <c r="B130" s="1"/>
      <c r="C130" s="1"/>
      <c r="D130" s="1"/>
      <c r="E130" s="1"/>
      <c r="F130" s="1"/>
      <c r="G130" s="9" t="s">
        <v>1214</v>
      </c>
      <c r="H130" s="9" t="s">
        <v>39</v>
      </c>
      <c r="I130" s="9" t="s">
        <v>926</v>
      </c>
      <c r="J130" s="3" t="s">
        <v>1215</v>
      </c>
      <c r="K130" s="13" t="s">
        <v>1216</v>
      </c>
    </row>
    <row r="131" spans="1:11" x14ac:dyDescent="0.3">
      <c r="A131" s="1"/>
      <c r="B131" s="1"/>
      <c r="C131" s="1"/>
      <c r="D131" s="1"/>
      <c r="E131" s="1"/>
      <c r="F131" s="1"/>
      <c r="G131" s="9" t="s">
        <v>1217</v>
      </c>
      <c r="H131" s="9" t="s">
        <v>39</v>
      </c>
      <c r="I131" s="9" t="s">
        <v>926</v>
      </c>
      <c r="J131" s="3" t="s">
        <v>1218</v>
      </c>
      <c r="K131" s="13" t="s">
        <v>1219</v>
      </c>
    </row>
    <row r="132" spans="1:11" x14ac:dyDescent="0.3">
      <c r="A132" s="1"/>
      <c r="B132" s="1"/>
      <c r="C132" s="9" t="s">
        <v>20</v>
      </c>
      <c r="D132" s="9" t="s">
        <v>21</v>
      </c>
      <c r="E132" s="9" t="s">
        <v>21</v>
      </c>
      <c r="F132" s="9" t="s">
        <v>22</v>
      </c>
      <c r="G132" s="11" t="s">
        <v>19</v>
      </c>
      <c r="H132" s="2"/>
      <c r="I132" s="7"/>
      <c r="J132" s="4"/>
      <c r="K132" s="12"/>
    </row>
    <row r="133" spans="1:11" x14ac:dyDescent="0.3">
      <c r="A133" s="1"/>
      <c r="B133" s="1"/>
      <c r="C133" s="1"/>
      <c r="D133" s="1"/>
      <c r="E133" s="1"/>
      <c r="F133" s="1"/>
      <c r="G133" s="9" t="s">
        <v>1220</v>
      </c>
      <c r="H133" s="9" t="s">
        <v>24</v>
      </c>
      <c r="I133" s="9" t="s">
        <v>926</v>
      </c>
      <c r="J133" s="3" t="s">
        <v>1221</v>
      </c>
      <c r="K133" s="13" t="s">
        <v>1222</v>
      </c>
    </row>
    <row r="134" spans="1:11" x14ac:dyDescent="0.3">
      <c r="A134" s="1"/>
      <c r="B134" s="1"/>
      <c r="C134" s="1"/>
      <c r="D134" s="1"/>
      <c r="E134" s="1"/>
      <c r="F134" s="1"/>
      <c r="G134" s="9" t="s">
        <v>1223</v>
      </c>
      <c r="H134" s="9" t="s">
        <v>24</v>
      </c>
      <c r="I134" s="9" t="s">
        <v>926</v>
      </c>
      <c r="J134" s="3" t="s">
        <v>1224</v>
      </c>
      <c r="K134" s="13" t="s">
        <v>1225</v>
      </c>
    </row>
    <row r="135" spans="1:11" x14ac:dyDescent="0.3">
      <c r="A135" s="1"/>
      <c r="B135" s="1"/>
      <c r="C135" s="9" t="s">
        <v>824</v>
      </c>
      <c r="D135" s="9" t="s">
        <v>825</v>
      </c>
      <c r="E135" s="9" t="s">
        <v>825</v>
      </c>
      <c r="F135" s="9" t="s">
        <v>22</v>
      </c>
      <c r="G135" s="9" t="s">
        <v>1226</v>
      </c>
      <c r="H135" s="9" t="s">
        <v>24</v>
      </c>
      <c r="I135" s="9" t="s">
        <v>926</v>
      </c>
      <c r="J135" s="3" t="s">
        <v>1227</v>
      </c>
      <c r="K135" s="13" t="s">
        <v>1228</v>
      </c>
    </row>
    <row r="136" spans="1:11" x14ac:dyDescent="0.3">
      <c r="A136" s="1"/>
      <c r="B136" s="1"/>
      <c r="C136" s="9" t="s">
        <v>36</v>
      </c>
      <c r="D136" s="9" t="s">
        <v>37</v>
      </c>
      <c r="E136" s="9" t="s">
        <v>37</v>
      </c>
      <c r="F136" s="9" t="s">
        <v>22</v>
      </c>
      <c r="G136" s="11" t="s">
        <v>19</v>
      </c>
      <c r="H136" s="2"/>
      <c r="I136" s="7"/>
      <c r="J136" s="4"/>
      <c r="K136" s="12"/>
    </row>
    <row r="137" spans="1:11" x14ac:dyDescent="0.3">
      <c r="A137" s="1"/>
      <c r="B137" s="1"/>
      <c r="C137" s="1"/>
      <c r="D137" s="1"/>
      <c r="E137" s="1"/>
      <c r="F137" s="1"/>
      <c r="G137" s="9" t="s">
        <v>1229</v>
      </c>
      <c r="H137" s="9" t="s">
        <v>39</v>
      </c>
      <c r="I137" s="9" t="s">
        <v>926</v>
      </c>
      <c r="J137" s="3" t="s">
        <v>1230</v>
      </c>
      <c r="K137" s="13" t="s">
        <v>1231</v>
      </c>
    </row>
    <row r="138" spans="1:11" x14ac:dyDescent="0.3">
      <c r="A138" s="1"/>
      <c r="B138" s="1"/>
      <c r="C138" s="1"/>
      <c r="D138" s="1"/>
      <c r="E138" s="1"/>
      <c r="F138" s="1"/>
      <c r="G138" s="9" t="s">
        <v>1232</v>
      </c>
      <c r="H138" s="9" t="s">
        <v>39</v>
      </c>
      <c r="I138" s="9" t="s">
        <v>926</v>
      </c>
      <c r="J138" s="3" t="s">
        <v>1233</v>
      </c>
      <c r="K138" s="13" t="s">
        <v>1234</v>
      </c>
    </row>
    <row r="139" spans="1:11" x14ac:dyDescent="0.3">
      <c r="A139" s="1"/>
      <c r="B139" s="1"/>
      <c r="C139" s="9" t="s">
        <v>1235</v>
      </c>
      <c r="D139" s="9" t="s">
        <v>1236</v>
      </c>
      <c r="E139" s="9" t="s">
        <v>1236</v>
      </c>
      <c r="F139" s="9" t="s">
        <v>22</v>
      </c>
      <c r="G139" s="9" t="s">
        <v>1237</v>
      </c>
      <c r="H139" s="9" t="s">
        <v>1238</v>
      </c>
      <c r="I139" s="9" t="s">
        <v>926</v>
      </c>
      <c r="J139" s="3" t="s">
        <v>1239</v>
      </c>
      <c r="K139" s="13" t="s">
        <v>1240</v>
      </c>
    </row>
    <row r="140" spans="1:11" x14ac:dyDescent="0.3">
      <c r="A140" s="1"/>
      <c r="B140" s="1"/>
      <c r="C140" s="9" t="s">
        <v>530</v>
      </c>
      <c r="D140" s="9" t="s">
        <v>531</v>
      </c>
      <c r="E140" s="9" t="s">
        <v>531</v>
      </c>
      <c r="F140" s="9" t="s">
        <v>22</v>
      </c>
      <c r="G140" s="9" t="s">
        <v>1241</v>
      </c>
      <c r="H140" s="9" t="s">
        <v>39</v>
      </c>
      <c r="I140" s="9" t="s">
        <v>926</v>
      </c>
      <c r="J140" s="3" t="s">
        <v>1242</v>
      </c>
      <c r="K140" s="13" t="s">
        <v>1243</v>
      </c>
    </row>
    <row r="141" spans="1:11" x14ac:dyDescent="0.3">
      <c r="A141" s="9" t="s">
        <v>414</v>
      </c>
      <c r="B141" s="9" t="s">
        <v>415</v>
      </c>
      <c r="C141" s="11" t="s">
        <v>19</v>
      </c>
      <c r="D141" s="2"/>
      <c r="E141" s="2"/>
      <c r="F141" s="2"/>
      <c r="G141" s="2"/>
      <c r="H141" s="2"/>
      <c r="I141" s="7"/>
      <c r="J141" s="4"/>
      <c r="K141" s="12"/>
    </row>
    <row r="142" spans="1:11" x14ac:dyDescent="0.3">
      <c r="A142" s="1"/>
      <c r="B142" s="1"/>
      <c r="C142" s="9" t="s">
        <v>422</v>
      </c>
      <c r="D142" s="9" t="s">
        <v>423</v>
      </c>
      <c r="E142" s="9" t="s">
        <v>423</v>
      </c>
      <c r="F142" s="9" t="s">
        <v>418</v>
      </c>
      <c r="G142" s="9" t="s">
        <v>1244</v>
      </c>
      <c r="H142" s="9" t="s">
        <v>119</v>
      </c>
      <c r="I142" s="9" t="s">
        <v>926</v>
      </c>
      <c r="J142" s="3" t="s">
        <v>1245</v>
      </c>
      <c r="K142" s="13" t="s">
        <v>1246</v>
      </c>
    </row>
    <row r="143" spans="1:11" x14ac:dyDescent="0.3">
      <c r="A143" s="1"/>
      <c r="B143" s="1"/>
      <c r="C143" s="9" t="s">
        <v>846</v>
      </c>
      <c r="D143" s="9" t="s">
        <v>847</v>
      </c>
      <c r="E143" s="9" t="s">
        <v>847</v>
      </c>
      <c r="F143" s="9" t="s">
        <v>418</v>
      </c>
      <c r="G143" s="9" t="s">
        <v>1247</v>
      </c>
      <c r="H143" s="9" t="s">
        <v>119</v>
      </c>
      <c r="I143" s="9" t="s">
        <v>926</v>
      </c>
      <c r="J143" s="3" t="s">
        <v>1248</v>
      </c>
      <c r="K143" s="13" t="s">
        <v>1249</v>
      </c>
    </row>
    <row r="144" spans="1:11" x14ac:dyDescent="0.3">
      <c r="A144" s="9" t="s">
        <v>427</v>
      </c>
      <c r="B144" s="9" t="s">
        <v>428</v>
      </c>
      <c r="C144" s="11" t="s">
        <v>19</v>
      </c>
      <c r="D144" s="2"/>
      <c r="E144" s="2"/>
      <c r="F144" s="2"/>
      <c r="G144" s="2"/>
      <c r="H144" s="2"/>
      <c r="I144" s="7"/>
      <c r="J144" s="4"/>
      <c r="K144" s="12"/>
    </row>
    <row r="145" spans="1:11" x14ac:dyDescent="0.3">
      <c r="A145" s="1"/>
      <c r="B145" s="1"/>
      <c r="C145" s="9" t="s">
        <v>857</v>
      </c>
      <c r="D145" s="9" t="s">
        <v>858</v>
      </c>
      <c r="E145" s="9" t="s">
        <v>859</v>
      </c>
      <c r="F145" s="9" t="s">
        <v>22</v>
      </c>
      <c r="G145" s="9" t="s">
        <v>1250</v>
      </c>
      <c r="H145" s="9" t="s">
        <v>119</v>
      </c>
      <c r="I145" s="9" t="s">
        <v>926</v>
      </c>
      <c r="J145" s="3" t="s">
        <v>1251</v>
      </c>
      <c r="K145" s="13" t="s">
        <v>1252</v>
      </c>
    </row>
    <row r="146" spans="1:11" x14ac:dyDescent="0.3">
      <c r="A146" s="1"/>
      <c r="B146" s="1"/>
      <c r="C146" s="9" t="s">
        <v>437</v>
      </c>
      <c r="D146" s="9" t="s">
        <v>438</v>
      </c>
      <c r="E146" s="9" t="s">
        <v>439</v>
      </c>
      <c r="F146" s="9" t="s">
        <v>22</v>
      </c>
      <c r="G146" s="11" t="s">
        <v>19</v>
      </c>
      <c r="H146" s="2"/>
      <c r="I146" s="7"/>
      <c r="J146" s="4"/>
      <c r="K146" s="12"/>
    </row>
    <row r="147" spans="1:11" x14ac:dyDescent="0.3">
      <c r="A147" s="1"/>
      <c r="B147" s="1"/>
      <c r="C147" s="1"/>
      <c r="D147" s="1"/>
      <c r="E147" s="1"/>
      <c r="F147" s="1"/>
      <c r="G147" s="9" t="s">
        <v>1253</v>
      </c>
      <c r="H147" s="9" t="s">
        <v>119</v>
      </c>
      <c r="I147" s="9" t="s">
        <v>926</v>
      </c>
      <c r="J147" s="3" t="s">
        <v>1254</v>
      </c>
      <c r="K147" s="13" t="s">
        <v>1255</v>
      </c>
    </row>
    <row r="148" spans="1:11" x14ac:dyDescent="0.3">
      <c r="A148" s="1"/>
      <c r="B148" s="1"/>
      <c r="C148" s="1"/>
      <c r="D148" s="1"/>
      <c r="E148" s="1"/>
      <c r="F148" s="1"/>
      <c r="G148" s="9" t="s">
        <v>1256</v>
      </c>
      <c r="H148" s="9" t="s">
        <v>119</v>
      </c>
      <c r="I148" s="9" t="s">
        <v>926</v>
      </c>
      <c r="J148" s="3" t="s">
        <v>1257</v>
      </c>
      <c r="K148" s="13" t="s">
        <v>1258</v>
      </c>
    </row>
    <row r="149" spans="1:11" x14ac:dyDescent="0.3">
      <c r="A149" s="1"/>
      <c r="B149" s="1"/>
      <c r="C149" s="9" t="s">
        <v>446</v>
      </c>
      <c r="D149" s="9" t="s">
        <v>447</v>
      </c>
      <c r="E149" s="9" t="s">
        <v>448</v>
      </c>
      <c r="F149" s="9" t="s">
        <v>22</v>
      </c>
      <c r="G149" s="9" t="s">
        <v>1259</v>
      </c>
      <c r="H149" s="9" t="s">
        <v>119</v>
      </c>
      <c r="I149" s="9" t="s">
        <v>926</v>
      </c>
      <c r="J149" s="3" t="s">
        <v>1260</v>
      </c>
      <c r="K149" s="13" t="s">
        <v>1261</v>
      </c>
    </row>
    <row r="150" spans="1:11" x14ac:dyDescent="0.3">
      <c r="A150" s="1"/>
      <c r="B150" s="1"/>
      <c r="C150" s="9" t="s">
        <v>452</v>
      </c>
      <c r="D150" s="9" t="s">
        <v>453</v>
      </c>
      <c r="E150" s="9" t="s">
        <v>454</v>
      </c>
      <c r="F150" s="9" t="s">
        <v>22</v>
      </c>
      <c r="G150" s="11" t="s">
        <v>19</v>
      </c>
      <c r="H150" s="2"/>
      <c r="I150" s="7"/>
      <c r="J150" s="4"/>
      <c r="K150" s="12"/>
    </row>
    <row r="151" spans="1:11" x14ac:dyDescent="0.3">
      <c r="A151" s="1"/>
      <c r="B151" s="1"/>
      <c r="C151" s="1"/>
      <c r="D151" s="1"/>
      <c r="E151" s="1"/>
      <c r="F151" s="1"/>
      <c r="G151" s="9" t="s">
        <v>1262</v>
      </c>
      <c r="H151" s="9" t="s">
        <v>119</v>
      </c>
      <c r="I151" s="9" t="s">
        <v>926</v>
      </c>
      <c r="J151" s="3" t="s">
        <v>1263</v>
      </c>
      <c r="K151" s="13" t="s">
        <v>1264</v>
      </c>
    </row>
    <row r="152" spans="1:11" x14ac:dyDescent="0.3">
      <c r="A152" s="1"/>
      <c r="B152" s="1"/>
      <c r="C152" s="1"/>
      <c r="D152" s="1"/>
      <c r="E152" s="1"/>
      <c r="F152" s="1"/>
      <c r="G152" s="9" t="s">
        <v>1265</v>
      </c>
      <c r="H152" s="9" t="s">
        <v>119</v>
      </c>
      <c r="I152" s="9" t="s">
        <v>926</v>
      </c>
      <c r="J152" s="3" t="s">
        <v>1266</v>
      </c>
      <c r="K152" s="13" t="s">
        <v>1267</v>
      </c>
    </row>
    <row r="153" spans="1:11" x14ac:dyDescent="0.3">
      <c r="A153" s="9" t="s">
        <v>464</v>
      </c>
      <c r="B153" s="9" t="s">
        <v>465</v>
      </c>
      <c r="C153" s="11" t="s">
        <v>19</v>
      </c>
      <c r="D153" s="2"/>
      <c r="E153" s="2"/>
      <c r="F153" s="2"/>
      <c r="G153" s="2"/>
      <c r="H153" s="2"/>
      <c r="I153" s="7"/>
      <c r="J153" s="4"/>
      <c r="K153" s="12"/>
    </row>
    <row r="154" spans="1:11" x14ac:dyDescent="0.3">
      <c r="A154" s="1"/>
      <c r="B154" s="1"/>
      <c r="C154" s="9" t="s">
        <v>466</v>
      </c>
      <c r="D154" s="9" t="s">
        <v>467</v>
      </c>
      <c r="E154" s="9" t="s">
        <v>468</v>
      </c>
      <c r="F154" s="9" t="s">
        <v>22</v>
      </c>
      <c r="G154" s="11" t="s">
        <v>19</v>
      </c>
      <c r="H154" s="2"/>
      <c r="I154" s="7"/>
      <c r="J154" s="4"/>
      <c r="K154" s="12"/>
    </row>
    <row r="155" spans="1:11" x14ac:dyDescent="0.3">
      <c r="A155" s="1"/>
      <c r="B155" s="1"/>
      <c r="C155" s="1"/>
      <c r="D155" s="1"/>
      <c r="E155" s="1"/>
      <c r="F155" s="1"/>
      <c r="G155" s="9" t="s">
        <v>1268</v>
      </c>
      <c r="H155" s="9" t="s">
        <v>39</v>
      </c>
      <c r="I155" s="9" t="s">
        <v>926</v>
      </c>
      <c r="J155" s="3" t="s">
        <v>1269</v>
      </c>
      <c r="K155" s="13" t="s">
        <v>1270</v>
      </c>
    </row>
    <row r="156" spans="1:11" x14ac:dyDescent="0.3">
      <c r="A156" s="1"/>
      <c r="B156" s="1"/>
      <c r="C156" s="1"/>
      <c r="D156" s="1"/>
      <c r="E156" s="1"/>
      <c r="F156" s="1"/>
      <c r="G156" s="9" t="s">
        <v>1271</v>
      </c>
      <c r="H156" s="9" t="s">
        <v>39</v>
      </c>
      <c r="I156" s="9" t="s">
        <v>926</v>
      </c>
      <c r="J156" s="3" t="s">
        <v>1272</v>
      </c>
      <c r="K156" s="13" t="s">
        <v>1273</v>
      </c>
    </row>
    <row r="157" spans="1:11" x14ac:dyDescent="0.3">
      <c r="A157" s="1"/>
      <c r="B157" s="1"/>
      <c r="C157" s="9" t="s">
        <v>429</v>
      </c>
      <c r="D157" s="9" t="s">
        <v>430</v>
      </c>
      <c r="E157" s="9" t="s">
        <v>430</v>
      </c>
      <c r="F157" s="9" t="s">
        <v>22</v>
      </c>
      <c r="G157" s="9" t="s">
        <v>1274</v>
      </c>
      <c r="H157" s="9" t="s">
        <v>39</v>
      </c>
      <c r="I157" s="9" t="s">
        <v>926</v>
      </c>
      <c r="J157" s="3" t="s">
        <v>1275</v>
      </c>
      <c r="K157" s="13" t="s">
        <v>1276</v>
      </c>
    </row>
    <row r="158" spans="1:11" x14ac:dyDescent="0.3">
      <c r="A158" s="1"/>
      <c r="B158" s="1"/>
      <c r="C158" s="9" t="s">
        <v>1277</v>
      </c>
      <c r="D158" s="9" t="s">
        <v>1278</v>
      </c>
      <c r="E158" s="9" t="s">
        <v>1279</v>
      </c>
      <c r="F158" s="9" t="s">
        <v>22</v>
      </c>
      <c r="G158" s="9" t="s">
        <v>1280</v>
      </c>
      <c r="H158" s="9" t="s">
        <v>39</v>
      </c>
      <c r="I158" s="9" t="s">
        <v>926</v>
      </c>
      <c r="J158" s="3" t="s">
        <v>1281</v>
      </c>
      <c r="K158" s="13" t="s">
        <v>1282</v>
      </c>
    </row>
    <row r="159" spans="1:11" x14ac:dyDescent="0.3">
      <c r="A159" s="1"/>
      <c r="B159" s="1"/>
      <c r="C159" s="9" t="s">
        <v>475</v>
      </c>
      <c r="D159" s="9" t="s">
        <v>476</v>
      </c>
      <c r="E159" s="9" t="s">
        <v>477</v>
      </c>
      <c r="F159" s="9" t="s">
        <v>22</v>
      </c>
      <c r="G159" s="11" t="s">
        <v>19</v>
      </c>
      <c r="H159" s="2"/>
      <c r="I159" s="7"/>
      <c r="J159" s="4"/>
      <c r="K159" s="12"/>
    </row>
    <row r="160" spans="1:11" x14ac:dyDescent="0.3">
      <c r="A160" s="1"/>
      <c r="B160" s="1"/>
      <c r="C160" s="1"/>
      <c r="D160" s="1"/>
      <c r="E160" s="1"/>
      <c r="F160" s="1"/>
      <c r="G160" s="9" t="s">
        <v>1283</v>
      </c>
      <c r="H160" s="9" t="s">
        <v>39</v>
      </c>
      <c r="I160" s="9" t="s">
        <v>926</v>
      </c>
      <c r="J160" s="3" t="s">
        <v>1284</v>
      </c>
      <c r="K160" s="13" t="s">
        <v>1285</v>
      </c>
    </row>
    <row r="161" spans="1:11" x14ac:dyDescent="0.3">
      <c r="A161" s="1"/>
      <c r="B161" s="1"/>
      <c r="C161" s="1"/>
      <c r="D161" s="1"/>
      <c r="E161" s="1"/>
      <c r="F161" s="1"/>
      <c r="G161" s="9" t="s">
        <v>1286</v>
      </c>
      <c r="H161" s="9" t="s">
        <v>39</v>
      </c>
      <c r="I161" s="9" t="s">
        <v>926</v>
      </c>
      <c r="J161" s="3" t="s">
        <v>1287</v>
      </c>
      <c r="K161" s="13" t="s">
        <v>1288</v>
      </c>
    </row>
    <row r="162" spans="1:11" x14ac:dyDescent="0.3">
      <c r="A162" s="1"/>
      <c r="B162" s="1"/>
      <c r="C162" s="1"/>
      <c r="D162" s="1"/>
      <c r="E162" s="1"/>
      <c r="F162" s="1"/>
      <c r="G162" s="9" t="s">
        <v>1289</v>
      </c>
      <c r="H162" s="9" t="s">
        <v>39</v>
      </c>
      <c r="I162" s="9" t="s">
        <v>926</v>
      </c>
      <c r="J162" s="3" t="s">
        <v>1290</v>
      </c>
      <c r="K162" s="13" t="s">
        <v>1291</v>
      </c>
    </row>
    <row r="163" spans="1:11" x14ac:dyDescent="0.3">
      <c r="A163" s="1"/>
      <c r="B163" s="1"/>
      <c r="C163" s="1"/>
      <c r="D163" s="1"/>
      <c r="E163" s="1"/>
      <c r="F163" s="1"/>
      <c r="G163" s="9" t="s">
        <v>1292</v>
      </c>
      <c r="H163" s="9" t="s">
        <v>39</v>
      </c>
      <c r="I163" s="9" t="s">
        <v>926</v>
      </c>
      <c r="J163" s="6" t="s">
        <v>1293</v>
      </c>
      <c r="K163" s="14" t="s">
        <v>1294</v>
      </c>
    </row>
  </sheetData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75"/>
  <sheetViews>
    <sheetView topLeftCell="C1" workbookViewId="0">
      <selection activeCell="S2" sqref="S2:S25"/>
    </sheetView>
  </sheetViews>
  <sheetFormatPr defaultRowHeight="14.65" x14ac:dyDescent="0.3"/>
  <cols>
    <col min="1" max="1" width="14.109375" bestFit="1" customWidth="1"/>
    <col min="2" max="2" width="31.88671875" bestFit="1" customWidth="1"/>
    <col min="3" max="3" width="7.5546875" bestFit="1" customWidth="1"/>
    <col min="4" max="5" width="31.44140625" bestFit="1" customWidth="1"/>
    <col min="6" max="7" width="13.109375" bestFit="1" customWidth="1"/>
    <col min="8" max="8" width="18.44140625" bestFit="1" customWidth="1"/>
    <col min="9" max="9" width="16.6640625" bestFit="1" customWidth="1"/>
    <col min="10" max="10" width="14.88671875" bestFit="1" customWidth="1"/>
    <col min="11" max="11" width="16" bestFit="1" customWidth="1"/>
    <col min="12" max="12" width="10.33203125" style="15" bestFit="1" customWidth="1"/>
    <col min="13" max="13" width="11.109375" bestFit="1" customWidth="1"/>
    <col min="15" max="15" width="11" bestFit="1" customWidth="1"/>
    <col min="16" max="16" width="28.5546875" bestFit="1" customWidth="1"/>
    <col min="17" max="17" width="41.88671875" bestFit="1" customWidth="1"/>
    <col min="18" max="18" width="48.109375" bestFit="1" customWidth="1"/>
    <col min="19" max="19" width="39" bestFit="1" customWidth="1"/>
  </cols>
  <sheetData>
    <row r="1" spans="1:19" x14ac:dyDescent="0.3">
      <c r="A1" s="8" t="s">
        <v>0</v>
      </c>
      <c r="B1" s="5"/>
      <c r="C1" s="8" t="s">
        <v>1</v>
      </c>
      <c r="D1" s="5"/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  <c r="J1" s="9" t="s">
        <v>7</v>
      </c>
      <c r="K1" s="9" t="s">
        <v>8</v>
      </c>
      <c r="L1" s="15" t="s">
        <v>9</v>
      </c>
      <c r="M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</row>
    <row r="2" spans="1:19" x14ac:dyDescent="0.3">
      <c r="A2" s="10" t="s">
        <v>16</v>
      </c>
      <c r="B2" s="2"/>
      <c r="C2" s="2"/>
      <c r="D2" s="2"/>
      <c r="E2" s="2"/>
      <c r="F2" s="2"/>
      <c r="G2" s="2"/>
      <c r="H2" s="2"/>
      <c r="I2" s="7"/>
      <c r="J2" s="4"/>
      <c r="K2" s="12"/>
      <c r="O2">
        <v>0</v>
      </c>
      <c r="P2">
        <f>COUNTIF(M:M,"0")</f>
        <v>0</v>
      </c>
      <c r="Q2">
        <f>AVERAGE($P$2:$P$25)</f>
        <v>5.5</v>
      </c>
      <c r="R2" s="15">
        <v>0</v>
      </c>
      <c r="S2" s="15">
        <f>AVERAGEIF($R$2:$R$25, "&lt;&gt; 0")</f>
        <v>1.9834426144284236E-2</v>
      </c>
    </row>
    <row r="3" spans="1:19" x14ac:dyDescent="0.3">
      <c r="A3" s="9" t="s">
        <v>17</v>
      </c>
      <c r="B3" s="9" t="s">
        <v>18</v>
      </c>
      <c r="C3" s="11" t="s">
        <v>19</v>
      </c>
      <c r="D3" s="2"/>
      <c r="E3" s="2"/>
      <c r="F3" s="2"/>
      <c r="G3" s="2"/>
      <c r="H3" s="2"/>
      <c r="I3" s="7"/>
      <c r="J3" s="4"/>
      <c r="K3" s="12"/>
      <c r="O3">
        <v>1</v>
      </c>
      <c r="P3">
        <f>COUNTIF(M:M,"1")</f>
        <v>1</v>
      </c>
      <c r="Q3">
        <f t="shared" ref="Q3:Q25" si="0">AVERAGE($P$2:$P$25)</f>
        <v>5.5</v>
      </c>
      <c r="R3" s="15">
        <f t="shared" ref="R3:R25" si="1">AVERAGEIF(M:M,O3,L:L)</f>
        <v>1.4004629629629645E-2</v>
      </c>
      <c r="S3" s="15">
        <f t="shared" ref="S3:S25" si="2">AVERAGEIF($R$2:$R$25, "&lt;&gt; 0")</f>
        <v>1.9834426144284236E-2</v>
      </c>
    </row>
    <row r="4" spans="1:19" x14ac:dyDescent="0.3">
      <c r="A4" s="1"/>
      <c r="B4" s="1"/>
      <c r="C4" s="9" t="s">
        <v>65</v>
      </c>
      <c r="D4" s="9" t="s">
        <v>66</v>
      </c>
      <c r="E4" s="9" t="s">
        <v>66</v>
      </c>
      <c r="F4" s="9" t="s">
        <v>22</v>
      </c>
      <c r="G4" s="11" t="s">
        <v>19</v>
      </c>
      <c r="H4" s="2"/>
      <c r="I4" s="7"/>
      <c r="J4" s="4"/>
      <c r="K4" s="12"/>
      <c r="O4">
        <v>2</v>
      </c>
      <c r="P4">
        <f>COUNTIF(M:M,"2")</f>
        <v>1</v>
      </c>
      <c r="Q4">
        <f t="shared" si="0"/>
        <v>5.5</v>
      </c>
      <c r="R4" s="15">
        <f t="shared" si="1"/>
        <v>1.7592592592592576E-2</v>
      </c>
      <c r="S4" s="15">
        <f t="shared" si="2"/>
        <v>1.9834426144284236E-2</v>
      </c>
    </row>
    <row r="5" spans="1:19" x14ac:dyDescent="0.3">
      <c r="A5" s="1"/>
      <c r="B5" s="1"/>
      <c r="C5" s="1"/>
      <c r="D5" s="1"/>
      <c r="E5" s="1"/>
      <c r="F5" s="1"/>
      <c r="G5" s="9" t="s">
        <v>1295</v>
      </c>
      <c r="H5" s="9" t="s">
        <v>39</v>
      </c>
      <c r="I5" s="9" t="s">
        <v>1296</v>
      </c>
      <c r="J5" s="3" t="s">
        <v>1297</v>
      </c>
      <c r="K5" s="13" t="s">
        <v>1298</v>
      </c>
      <c r="L5" s="15">
        <f t="shared" ref="L5:L66" si="3">K5-J5</f>
        <v>4.8888888888888926E-2</v>
      </c>
      <c r="M5">
        <f t="shared" ref="M5:M66" si="4">HOUR(J5)</f>
        <v>7</v>
      </c>
      <c r="O5">
        <v>3</v>
      </c>
      <c r="P5">
        <f>COUNTIF(M:M,"3")</f>
        <v>3</v>
      </c>
      <c r="Q5">
        <f t="shared" si="0"/>
        <v>5.5</v>
      </c>
      <c r="R5" s="15">
        <f t="shared" si="1"/>
        <v>1.483024691358025E-2</v>
      </c>
      <c r="S5" s="15">
        <f t="shared" si="2"/>
        <v>1.9834426144284236E-2</v>
      </c>
    </row>
    <row r="6" spans="1:19" x14ac:dyDescent="0.3">
      <c r="A6" s="1"/>
      <c r="B6" s="1"/>
      <c r="C6" s="1"/>
      <c r="D6" s="1"/>
      <c r="E6" s="1"/>
      <c r="F6" s="1"/>
      <c r="G6" s="9" t="s">
        <v>1299</v>
      </c>
      <c r="H6" s="9" t="s">
        <v>39</v>
      </c>
      <c r="I6" s="9" t="s">
        <v>1296</v>
      </c>
      <c r="J6" s="3" t="s">
        <v>1300</v>
      </c>
      <c r="K6" s="13" t="s">
        <v>1301</v>
      </c>
      <c r="L6" s="15">
        <f t="shared" si="3"/>
        <v>2.5173611111111105E-2</v>
      </c>
      <c r="M6">
        <f t="shared" si="4"/>
        <v>8</v>
      </c>
      <c r="O6">
        <v>4</v>
      </c>
      <c r="P6">
        <f>COUNTIF(M:M,"4")</f>
        <v>5</v>
      </c>
      <c r="Q6">
        <f t="shared" si="0"/>
        <v>5.5</v>
      </c>
      <c r="R6" s="15">
        <f t="shared" si="1"/>
        <v>1.5388888888888902E-2</v>
      </c>
      <c r="S6" s="15">
        <f t="shared" si="2"/>
        <v>1.9834426144284236E-2</v>
      </c>
    </row>
    <row r="7" spans="1:19" x14ac:dyDescent="0.3">
      <c r="A7" s="1"/>
      <c r="B7" s="1"/>
      <c r="C7" s="1"/>
      <c r="D7" s="1"/>
      <c r="E7" s="1"/>
      <c r="F7" s="1"/>
      <c r="G7" s="9" t="s">
        <v>1302</v>
      </c>
      <c r="H7" s="9" t="s">
        <v>39</v>
      </c>
      <c r="I7" s="9" t="s">
        <v>1296</v>
      </c>
      <c r="J7" s="3" t="s">
        <v>1303</v>
      </c>
      <c r="K7" s="13" t="s">
        <v>1304</v>
      </c>
      <c r="L7" s="15">
        <f t="shared" si="3"/>
        <v>4.8321759259259245E-2</v>
      </c>
      <c r="M7">
        <f t="shared" si="4"/>
        <v>11</v>
      </c>
      <c r="O7">
        <v>5</v>
      </c>
      <c r="P7">
        <f>COUNTIF(M:M,"5")</f>
        <v>10</v>
      </c>
      <c r="Q7">
        <f t="shared" si="0"/>
        <v>5.5</v>
      </c>
      <c r="R7" s="15">
        <f t="shared" si="1"/>
        <v>1.6081018518518512E-2</v>
      </c>
      <c r="S7" s="15">
        <f t="shared" si="2"/>
        <v>1.9834426144284236E-2</v>
      </c>
    </row>
    <row r="8" spans="1:19" x14ac:dyDescent="0.3">
      <c r="A8" s="1"/>
      <c r="B8" s="1"/>
      <c r="C8" s="1"/>
      <c r="D8" s="1"/>
      <c r="E8" s="1"/>
      <c r="F8" s="1"/>
      <c r="G8" s="9" t="s">
        <v>1305</v>
      </c>
      <c r="H8" s="9" t="s">
        <v>39</v>
      </c>
      <c r="I8" s="9" t="s">
        <v>1296</v>
      </c>
      <c r="J8" s="3" t="s">
        <v>1306</v>
      </c>
      <c r="K8" s="13" t="s">
        <v>1307</v>
      </c>
      <c r="L8" s="15">
        <f t="shared" si="3"/>
        <v>2.3240740740740784E-2</v>
      </c>
      <c r="M8">
        <f t="shared" si="4"/>
        <v>14</v>
      </c>
      <c r="O8">
        <v>6</v>
      </c>
      <c r="P8">
        <f>COUNTIF(M:M,"6")</f>
        <v>9</v>
      </c>
      <c r="Q8">
        <f t="shared" si="0"/>
        <v>5.5</v>
      </c>
      <c r="R8" s="15">
        <f t="shared" si="1"/>
        <v>2.1051954732510276E-2</v>
      </c>
      <c r="S8" s="15">
        <f t="shared" si="2"/>
        <v>1.9834426144284236E-2</v>
      </c>
    </row>
    <row r="9" spans="1:19" x14ac:dyDescent="0.3">
      <c r="A9" s="1"/>
      <c r="B9" s="1"/>
      <c r="C9" s="1"/>
      <c r="D9" s="1"/>
      <c r="E9" s="1"/>
      <c r="F9" s="1"/>
      <c r="G9" s="9" t="s">
        <v>1308</v>
      </c>
      <c r="H9" s="9" t="s">
        <v>24</v>
      </c>
      <c r="I9" s="9" t="s">
        <v>1296</v>
      </c>
      <c r="J9" s="3" t="s">
        <v>1309</v>
      </c>
      <c r="K9" s="13" t="s">
        <v>1310</v>
      </c>
      <c r="L9" s="15">
        <f t="shared" si="3"/>
        <v>2.7870370370370323E-2</v>
      </c>
      <c r="M9">
        <f t="shared" si="4"/>
        <v>14</v>
      </c>
      <c r="O9">
        <v>7</v>
      </c>
      <c r="P9">
        <f>COUNTIF(M:M,"7")</f>
        <v>11</v>
      </c>
      <c r="Q9">
        <f t="shared" si="0"/>
        <v>5.5</v>
      </c>
      <c r="R9" s="15">
        <f t="shared" si="1"/>
        <v>2.4772727272727276E-2</v>
      </c>
      <c r="S9" s="15">
        <f t="shared" si="2"/>
        <v>1.9834426144284236E-2</v>
      </c>
    </row>
    <row r="10" spans="1:19" x14ac:dyDescent="0.3">
      <c r="A10" s="1"/>
      <c r="B10" s="1"/>
      <c r="C10" s="1"/>
      <c r="D10" s="1"/>
      <c r="E10" s="1"/>
      <c r="F10" s="1"/>
      <c r="G10" s="9" t="s">
        <v>1311</v>
      </c>
      <c r="H10" s="9" t="s">
        <v>24</v>
      </c>
      <c r="I10" s="9" t="s">
        <v>1296</v>
      </c>
      <c r="J10" s="3" t="s">
        <v>1312</v>
      </c>
      <c r="K10" s="13" t="s">
        <v>1313</v>
      </c>
      <c r="L10" s="15">
        <f t="shared" si="3"/>
        <v>2.2534722222222192E-2</v>
      </c>
      <c r="M10">
        <f t="shared" si="4"/>
        <v>14</v>
      </c>
      <c r="O10">
        <v>8</v>
      </c>
      <c r="P10">
        <f>COUNTIF(M:M,"8")</f>
        <v>7</v>
      </c>
      <c r="Q10">
        <f t="shared" si="0"/>
        <v>5.5</v>
      </c>
      <c r="R10" s="15">
        <f t="shared" si="1"/>
        <v>1.8974867724867697E-2</v>
      </c>
      <c r="S10" s="15">
        <f t="shared" si="2"/>
        <v>1.9834426144284236E-2</v>
      </c>
    </row>
    <row r="11" spans="1:19" x14ac:dyDescent="0.3">
      <c r="A11" s="1"/>
      <c r="B11" s="1"/>
      <c r="C11" s="9" t="s">
        <v>20</v>
      </c>
      <c r="D11" s="9" t="s">
        <v>21</v>
      </c>
      <c r="E11" s="9" t="s">
        <v>21</v>
      </c>
      <c r="F11" s="9" t="s">
        <v>22</v>
      </c>
      <c r="G11" s="11" t="s">
        <v>19</v>
      </c>
      <c r="H11" s="2"/>
      <c r="I11" s="7"/>
      <c r="J11" s="4"/>
      <c r="K11" s="12"/>
      <c r="O11">
        <v>9</v>
      </c>
      <c r="P11">
        <f>COUNTIF(M:M,"9")</f>
        <v>10</v>
      </c>
      <c r="Q11">
        <f t="shared" si="0"/>
        <v>5.5</v>
      </c>
      <c r="R11" s="15">
        <f t="shared" si="1"/>
        <v>2.8453703703703714E-2</v>
      </c>
      <c r="S11" s="15">
        <f t="shared" si="2"/>
        <v>1.9834426144284236E-2</v>
      </c>
    </row>
    <row r="12" spans="1:19" x14ac:dyDescent="0.3">
      <c r="A12" s="1"/>
      <c r="B12" s="1"/>
      <c r="C12" s="1"/>
      <c r="D12" s="1"/>
      <c r="E12" s="1"/>
      <c r="F12" s="1"/>
      <c r="G12" s="9" t="s">
        <v>1314</v>
      </c>
      <c r="H12" s="9" t="s">
        <v>39</v>
      </c>
      <c r="I12" s="9" t="s">
        <v>1296</v>
      </c>
      <c r="J12" s="3" t="s">
        <v>1315</v>
      </c>
      <c r="K12" s="13" t="s">
        <v>1316</v>
      </c>
      <c r="L12" s="15">
        <f t="shared" si="3"/>
        <v>1.3807870370370373E-2</v>
      </c>
      <c r="M12">
        <f t="shared" si="4"/>
        <v>5</v>
      </c>
      <c r="O12">
        <v>10</v>
      </c>
      <c r="P12">
        <f>COUNTIF(M:M,"10")</f>
        <v>12</v>
      </c>
      <c r="Q12">
        <f t="shared" si="0"/>
        <v>5.5</v>
      </c>
      <c r="R12" s="15">
        <f t="shared" si="1"/>
        <v>2.7824074074074074E-2</v>
      </c>
      <c r="S12" s="15">
        <f t="shared" si="2"/>
        <v>1.9834426144284236E-2</v>
      </c>
    </row>
    <row r="13" spans="1:19" x14ac:dyDescent="0.3">
      <c r="A13" s="1"/>
      <c r="B13" s="1"/>
      <c r="C13" s="1"/>
      <c r="D13" s="1"/>
      <c r="E13" s="1"/>
      <c r="F13" s="1"/>
      <c r="G13" s="9" t="s">
        <v>1317</v>
      </c>
      <c r="H13" s="9" t="s">
        <v>24</v>
      </c>
      <c r="I13" s="9" t="s">
        <v>1296</v>
      </c>
      <c r="J13" s="3" t="s">
        <v>1318</v>
      </c>
      <c r="K13" s="13" t="s">
        <v>1319</v>
      </c>
      <c r="L13" s="15">
        <f t="shared" si="3"/>
        <v>1.6655092592592596E-2</v>
      </c>
      <c r="M13">
        <f t="shared" si="4"/>
        <v>5</v>
      </c>
      <c r="O13">
        <v>11</v>
      </c>
      <c r="P13">
        <f>COUNTIF(M:M,"11")</f>
        <v>13</v>
      </c>
      <c r="Q13">
        <f t="shared" si="0"/>
        <v>5.5</v>
      </c>
      <c r="R13" s="15">
        <f t="shared" si="1"/>
        <v>3.0381054131054148E-2</v>
      </c>
      <c r="S13" s="15">
        <f t="shared" si="2"/>
        <v>1.9834426144284236E-2</v>
      </c>
    </row>
    <row r="14" spans="1:19" x14ac:dyDescent="0.3">
      <c r="A14" s="1"/>
      <c r="B14" s="1"/>
      <c r="C14" s="1"/>
      <c r="D14" s="1"/>
      <c r="E14" s="1"/>
      <c r="F14" s="1"/>
      <c r="G14" s="9" t="s">
        <v>1320</v>
      </c>
      <c r="H14" s="9" t="s">
        <v>24</v>
      </c>
      <c r="I14" s="9" t="s">
        <v>1296</v>
      </c>
      <c r="J14" s="3" t="s">
        <v>1321</v>
      </c>
      <c r="K14" s="13" t="s">
        <v>1322</v>
      </c>
      <c r="L14" s="15">
        <f t="shared" si="3"/>
        <v>1.7905092592592597E-2</v>
      </c>
      <c r="M14">
        <f t="shared" si="4"/>
        <v>9</v>
      </c>
      <c r="O14">
        <v>12</v>
      </c>
      <c r="P14">
        <f>COUNTIF(M:M,"12")</f>
        <v>4</v>
      </c>
      <c r="Q14">
        <f t="shared" si="0"/>
        <v>5.5</v>
      </c>
      <c r="R14" s="15">
        <f t="shared" si="1"/>
        <v>1.9722222222222224E-2</v>
      </c>
      <c r="S14" s="15">
        <f t="shared" si="2"/>
        <v>1.9834426144284236E-2</v>
      </c>
    </row>
    <row r="15" spans="1:19" x14ac:dyDescent="0.3">
      <c r="A15" s="1"/>
      <c r="B15" s="1"/>
      <c r="C15" s="1"/>
      <c r="D15" s="1"/>
      <c r="E15" s="1"/>
      <c r="F15" s="1"/>
      <c r="G15" s="9" t="s">
        <v>1323</v>
      </c>
      <c r="H15" s="9" t="s">
        <v>24</v>
      </c>
      <c r="I15" s="9" t="s">
        <v>1296</v>
      </c>
      <c r="J15" s="3" t="s">
        <v>523</v>
      </c>
      <c r="K15" s="13" t="s">
        <v>1324</v>
      </c>
      <c r="L15" s="15">
        <f t="shared" si="3"/>
        <v>2.1249999999999991E-2</v>
      </c>
      <c r="M15">
        <f t="shared" si="4"/>
        <v>15</v>
      </c>
      <c r="O15">
        <v>13</v>
      </c>
      <c r="P15">
        <f>COUNTIF(M:M,"13")</f>
        <v>7</v>
      </c>
      <c r="Q15">
        <f t="shared" si="0"/>
        <v>5.5</v>
      </c>
      <c r="R15" s="15">
        <f t="shared" si="1"/>
        <v>1.9970238095238107E-2</v>
      </c>
      <c r="S15" s="15">
        <f t="shared" si="2"/>
        <v>1.9834426144284236E-2</v>
      </c>
    </row>
    <row r="16" spans="1:19" x14ac:dyDescent="0.3">
      <c r="A16" s="1"/>
      <c r="B16" s="1"/>
      <c r="C16" s="9" t="s">
        <v>93</v>
      </c>
      <c r="D16" s="9" t="s">
        <v>94</v>
      </c>
      <c r="E16" s="9" t="s">
        <v>164</v>
      </c>
      <c r="F16" s="9" t="s">
        <v>22</v>
      </c>
      <c r="G16" s="11" t="s">
        <v>19</v>
      </c>
      <c r="H16" s="2"/>
      <c r="I16" s="7"/>
      <c r="J16" s="4"/>
      <c r="K16" s="12"/>
      <c r="O16">
        <v>14</v>
      </c>
      <c r="P16">
        <f>COUNTIF(M:M,"14")</f>
        <v>8</v>
      </c>
      <c r="Q16">
        <f t="shared" si="0"/>
        <v>5.5</v>
      </c>
      <c r="R16" s="15">
        <f t="shared" si="1"/>
        <v>2.1765046296296275E-2</v>
      </c>
      <c r="S16" s="15">
        <f t="shared" si="2"/>
        <v>1.9834426144284236E-2</v>
      </c>
    </row>
    <row r="17" spans="1:19" x14ac:dyDescent="0.3">
      <c r="A17" s="1"/>
      <c r="B17" s="1"/>
      <c r="C17" s="1"/>
      <c r="D17" s="1"/>
      <c r="E17" s="1"/>
      <c r="F17" s="1"/>
      <c r="G17" s="9" t="s">
        <v>1325</v>
      </c>
      <c r="H17" s="9" t="s">
        <v>39</v>
      </c>
      <c r="I17" s="9" t="s">
        <v>1296</v>
      </c>
      <c r="J17" s="3" t="s">
        <v>1326</v>
      </c>
      <c r="K17" s="13" t="s">
        <v>1327</v>
      </c>
      <c r="L17" s="15">
        <f t="shared" si="3"/>
        <v>2.5879629629629641E-2</v>
      </c>
      <c r="M17">
        <f t="shared" si="4"/>
        <v>6</v>
      </c>
      <c r="O17">
        <v>15</v>
      </c>
      <c r="P17">
        <f>COUNTIF(M:M,"15")</f>
        <v>5</v>
      </c>
      <c r="Q17">
        <f t="shared" si="0"/>
        <v>5.5</v>
      </c>
      <c r="R17" s="15">
        <f t="shared" si="1"/>
        <v>2.0872685185185213E-2</v>
      </c>
      <c r="S17" s="15">
        <f t="shared" si="2"/>
        <v>1.9834426144284236E-2</v>
      </c>
    </row>
    <row r="18" spans="1:19" x14ac:dyDescent="0.3">
      <c r="A18" s="1"/>
      <c r="B18" s="1"/>
      <c r="C18" s="1"/>
      <c r="D18" s="1"/>
      <c r="E18" s="1"/>
      <c r="F18" s="1"/>
      <c r="G18" s="9" t="s">
        <v>1328</v>
      </c>
      <c r="H18" s="9" t="s">
        <v>39</v>
      </c>
      <c r="I18" s="9" t="s">
        <v>1296</v>
      </c>
      <c r="J18" s="3" t="s">
        <v>1329</v>
      </c>
      <c r="K18" s="13" t="s">
        <v>1330</v>
      </c>
      <c r="L18" s="15">
        <f t="shared" si="3"/>
        <v>2.1967592592592622E-2</v>
      </c>
      <c r="M18">
        <f t="shared" si="4"/>
        <v>13</v>
      </c>
      <c r="O18">
        <v>16</v>
      </c>
      <c r="P18">
        <f>COUNTIF(M:M,"16")</f>
        <v>4</v>
      </c>
      <c r="Q18">
        <f t="shared" si="0"/>
        <v>5.5</v>
      </c>
      <c r="R18" s="15">
        <f t="shared" si="1"/>
        <v>1.8897569444444429E-2</v>
      </c>
      <c r="S18" s="15">
        <f t="shared" si="2"/>
        <v>1.9834426144284236E-2</v>
      </c>
    </row>
    <row r="19" spans="1:19" x14ac:dyDescent="0.3">
      <c r="A19" s="1"/>
      <c r="B19" s="1"/>
      <c r="C19" s="9" t="s">
        <v>31</v>
      </c>
      <c r="D19" s="9" t="s">
        <v>32</v>
      </c>
      <c r="E19" s="9" t="s">
        <v>32</v>
      </c>
      <c r="F19" s="9" t="s">
        <v>22</v>
      </c>
      <c r="G19" s="9" t="s">
        <v>1331</v>
      </c>
      <c r="H19" s="9" t="s">
        <v>39</v>
      </c>
      <c r="I19" s="9" t="s">
        <v>1296</v>
      </c>
      <c r="J19" s="3" t="s">
        <v>1332</v>
      </c>
      <c r="K19" s="13" t="s">
        <v>1333</v>
      </c>
      <c r="L19" s="15">
        <f t="shared" si="3"/>
        <v>2.5532407407407476E-2</v>
      </c>
      <c r="M19">
        <f t="shared" si="4"/>
        <v>17</v>
      </c>
      <c r="O19">
        <v>17</v>
      </c>
      <c r="P19">
        <f>COUNTIF(M:M,"17")</f>
        <v>9</v>
      </c>
      <c r="Q19">
        <f t="shared" si="0"/>
        <v>5.5</v>
      </c>
      <c r="R19" s="15">
        <f t="shared" si="1"/>
        <v>2.0577417695473263E-2</v>
      </c>
      <c r="S19" s="15">
        <f t="shared" si="2"/>
        <v>1.9834426144284236E-2</v>
      </c>
    </row>
    <row r="20" spans="1:19" x14ac:dyDescent="0.3">
      <c r="A20" s="1"/>
      <c r="B20" s="1"/>
      <c r="C20" s="9" t="s">
        <v>36</v>
      </c>
      <c r="D20" s="9" t="s">
        <v>37</v>
      </c>
      <c r="E20" s="9" t="s">
        <v>37</v>
      </c>
      <c r="F20" s="9" t="s">
        <v>22</v>
      </c>
      <c r="G20" s="9" t="s">
        <v>1334</v>
      </c>
      <c r="H20" s="9" t="s">
        <v>39</v>
      </c>
      <c r="I20" s="9" t="s">
        <v>1296</v>
      </c>
      <c r="J20" s="3" t="s">
        <v>1335</v>
      </c>
      <c r="K20" s="13" t="s">
        <v>754</v>
      </c>
      <c r="L20" s="15">
        <f t="shared" si="3"/>
        <v>1.3969907407407389E-2</v>
      </c>
      <c r="M20">
        <f t="shared" si="4"/>
        <v>10</v>
      </c>
      <c r="O20">
        <v>18</v>
      </c>
      <c r="P20">
        <f>COUNTIF(M:M,"18")</f>
        <v>3</v>
      </c>
      <c r="Q20">
        <f t="shared" si="0"/>
        <v>5.5</v>
      </c>
      <c r="R20" s="15">
        <f t="shared" si="1"/>
        <v>1.804012345679018E-2</v>
      </c>
      <c r="S20" s="15">
        <f t="shared" si="2"/>
        <v>1.9834426144284236E-2</v>
      </c>
    </row>
    <row r="21" spans="1:19" x14ac:dyDescent="0.3">
      <c r="A21" s="1"/>
      <c r="B21" s="1"/>
      <c r="C21" s="9" t="s">
        <v>841</v>
      </c>
      <c r="D21" s="9" t="s">
        <v>842</v>
      </c>
      <c r="E21" s="9" t="s">
        <v>842</v>
      </c>
      <c r="F21" s="9" t="s">
        <v>22</v>
      </c>
      <c r="G21" s="9" t="s">
        <v>1336</v>
      </c>
      <c r="H21" s="9" t="s">
        <v>39</v>
      </c>
      <c r="I21" s="9" t="s">
        <v>1296</v>
      </c>
      <c r="J21" s="3" t="s">
        <v>160</v>
      </c>
      <c r="K21" s="13" t="s">
        <v>1337</v>
      </c>
      <c r="L21" s="15">
        <f t="shared" si="3"/>
        <v>1.428240740740741E-2</v>
      </c>
      <c r="M21">
        <f t="shared" si="4"/>
        <v>5</v>
      </c>
      <c r="O21">
        <v>19</v>
      </c>
      <c r="P21">
        <f>COUNTIF(M:M,"19")</f>
        <v>1</v>
      </c>
      <c r="Q21">
        <f t="shared" si="0"/>
        <v>5.5</v>
      </c>
      <c r="R21" s="15">
        <f t="shared" si="1"/>
        <v>1.7673611111111209E-2</v>
      </c>
      <c r="S21" s="15">
        <f t="shared" si="2"/>
        <v>1.9834426144284236E-2</v>
      </c>
    </row>
    <row r="22" spans="1:19" x14ac:dyDescent="0.3">
      <c r="A22" s="9" t="s">
        <v>63</v>
      </c>
      <c r="B22" s="9" t="s">
        <v>64</v>
      </c>
      <c r="C22" s="11" t="s">
        <v>19</v>
      </c>
      <c r="D22" s="2"/>
      <c r="E22" s="2"/>
      <c r="F22" s="2"/>
      <c r="G22" s="2"/>
      <c r="H22" s="2"/>
      <c r="I22" s="7"/>
      <c r="J22" s="4"/>
      <c r="K22" s="12"/>
      <c r="O22">
        <v>20</v>
      </c>
      <c r="P22">
        <f>COUNTIF(M:M,"20")</f>
        <v>4</v>
      </c>
      <c r="Q22">
        <f t="shared" si="0"/>
        <v>5.5</v>
      </c>
      <c r="R22" s="15">
        <f t="shared" si="1"/>
        <v>1.6458333333333297E-2</v>
      </c>
      <c r="S22" s="15">
        <f t="shared" si="2"/>
        <v>1.9834426144284236E-2</v>
      </c>
    </row>
    <row r="23" spans="1:19" x14ac:dyDescent="0.3">
      <c r="A23" s="1"/>
      <c r="B23" s="1"/>
      <c r="C23" s="9" t="s">
        <v>923</v>
      </c>
      <c r="D23" s="9" t="s">
        <v>924</v>
      </c>
      <c r="E23" s="9" t="s">
        <v>924</v>
      </c>
      <c r="F23" s="9" t="s">
        <v>22</v>
      </c>
      <c r="G23" s="9" t="s">
        <v>1338</v>
      </c>
      <c r="H23" s="9" t="s">
        <v>39</v>
      </c>
      <c r="I23" s="9" t="s">
        <v>1296</v>
      </c>
      <c r="J23" s="3" t="s">
        <v>1339</v>
      </c>
      <c r="K23" s="13" t="s">
        <v>1340</v>
      </c>
      <c r="L23" s="15">
        <f t="shared" si="3"/>
        <v>2.141203703703709E-2</v>
      </c>
      <c r="M23">
        <f t="shared" si="4"/>
        <v>10</v>
      </c>
      <c r="O23">
        <v>21</v>
      </c>
      <c r="P23">
        <f>COUNTIF(M:M,"21")</f>
        <v>1</v>
      </c>
      <c r="Q23">
        <f t="shared" si="0"/>
        <v>5.5</v>
      </c>
      <c r="R23" s="15">
        <f t="shared" si="1"/>
        <v>1.4687499999999964E-2</v>
      </c>
      <c r="S23" s="15">
        <f t="shared" si="2"/>
        <v>1.9834426144284236E-2</v>
      </c>
    </row>
    <row r="24" spans="1:19" x14ac:dyDescent="0.3">
      <c r="A24" s="1"/>
      <c r="B24" s="1"/>
      <c r="C24" s="9" t="s">
        <v>1341</v>
      </c>
      <c r="D24" s="9" t="s">
        <v>1342</v>
      </c>
      <c r="E24" s="9" t="s">
        <v>1342</v>
      </c>
      <c r="F24" s="9" t="s">
        <v>22</v>
      </c>
      <c r="G24" s="11" t="s">
        <v>19</v>
      </c>
      <c r="H24" s="2"/>
      <c r="I24" s="7"/>
      <c r="J24" s="4"/>
      <c r="K24" s="12"/>
      <c r="O24">
        <v>22</v>
      </c>
      <c r="P24">
        <f>COUNTIF(M:M,"22")</f>
        <v>1</v>
      </c>
      <c r="Q24">
        <f t="shared" si="0"/>
        <v>5.5</v>
      </c>
      <c r="R24" s="15">
        <f t="shared" si="1"/>
        <v>1.7152777777777684E-2</v>
      </c>
      <c r="S24" s="15">
        <f t="shared" si="2"/>
        <v>1.9834426144284236E-2</v>
      </c>
    </row>
    <row r="25" spans="1:19" x14ac:dyDescent="0.3">
      <c r="A25" s="1"/>
      <c r="B25" s="1"/>
      <c r="C25" s="1"/>
      <c r="D25" s="1"/>
      <c r="E25" s="1"/>
      <c r="F25" s="1"/>
      <c r="G25" s="9" t="s">
        <v>1343</v>
      </c>
      <c r="H25" s="9" t="s">
        <v>39</v>
      </c>
      <c r="I25" s="9" t="s">
        <v>1296</v>
      </c>
      <c r="J25" s="3" t="s">
        <v>1344</v>
      </c>
      <c r="K25" s="13" t="s">
        <v>1345</v>
      </c>
      <c r="L25" s="15">
        <f t="shared" si="3"/>
        <v>1.807870370370368E-2</v>
      </c>
      <c r="M25">
        <f t="shared" si="4"/>
        <v>7</v>
      </c>
      <c r="O25">
        <v>23</v>
      </c>
      <c r="P25">
        <f>COUNTIF(M:M,"23")</f>
        <v>3</v>
      </c>
      <c r="Q25">
        <f t="shared" si="0"/>
        <v>5.5</v>
      </c>
      <c r="R25" s="15">
        <f t="shared" si="1"/>
        <v>2.1018518518518509E-2</v>
      </c>
      <c r="S25" s="15">
        <f t="shared" si="2"/>
        <v>1.9834426144284236E-2</v>
      </c>
    </row>
    <row r="26" spans="1:19" x14ac:dyDescent="0.3">
      <c r="A26" s="1"/>
      <c r="B26" s="1"/>
      <c r="C26" s="1"/>
      <c r="D26" s="1"/>
      <c r="E26" s="1"/>
      <c r="F26" s="1"/>
      <c r="G26" s="9" t="s">
        <v>1346</v>
      </c>
      <c r="H26" s="9" t="s">
        <v>39</v>
      </c>
      <c r="I26" s="9" t="s">
        <v>1296</v>
      </c>
      <c r="J26" s="3" t="s">
        <v>1347</v>
      </c>
      <c r="K26" s="13" t="s">
        <v>1348</v>
      </c>
      <c r="L26" s="15">
        <f t="shared" si="3"/>
        <v>1.7407407407407371E-2</v>
      </c>
      <c r="M26">
        <f t="shared" si="4"/>
        <v>11</v>
      </c>
    </row>
    <row r="27" spans="1:19" x14ac:dyDescent="0.3">
      <c r="A27" s="1"/>
      <c r="B27" s="1"/>
      <c r="C27" s="1"/>
      <c r="D27" s="1"/>
      <c r="E27" s="1"/>
      <c r="F27" s="1"/>
      <c r="G27" s="9" t="s">
        <v>1349</v>
      </c>
      <c r="H27" s="9" t="s">
        <v>39</v>
      </c>
      <c r="I27" s="9" t="s">
        <v>1296</v>
      </c>
      <c r="J27" s="3" t="s">
        <v>1350</v>
      </c>
      <c r="K27" s="13" t="s">
        <v>1351</v>
      </c>
      <c r="L27" s="15">
        <f t="shared" si="3"/>
        <v>1.4097222222222205E-2</v>
      </c>
      <c r="M27">
        <f t="shared" si="4"/>
        <v>14</v>
      </c>
    </row>
    <row r="28" spans="1:19" x14ac:dyDescent="0.3">
      <c r="A28" s="1"/>
      <c r="B28" s="1"/>
      <c r="C28" s="9" t="s">
        <v>65</v>
      </c>
      <c r="D28" s="9" t="s">
        <v>66</v>
      </c>
      <c r="E28" s="9" t="s">
        <v>66</v>
      </c>
      <c r="F28" s="9" t="s">
        <v>22</v>
      </c>
      <c r="G28" s="9" t="s">
        <v>1352</v>
      </c>
      <c r="H28" s="9" t="s">
        <v>24</v>
      </c>
      <c r="I28" s="9" t="s">
        <v>1296</v>
      </c>
      <c r="J28" s="3" t="s">
        <v>1353</v>
      </c>
      <c r="K28" s="13" t="s">
        <v>1354</v>
      </c>
      <c r="L28" s="15">
        <f t="shared" si="3"/>
        <v>2.8564814814814821E-2</v>
      </c>
      <c r="M28">
        <f t="shared" si="4"/>
        <v>10</v>
      </c>
    </row>
    <row r="29" spans="1:19" x14ac:dyDescent="0.3">
      <c r="A29" s="1"/>
      <c r="B29" s="1"/>
      <c r="C29" s="9" t="s">
        <v>20</v>
      </c>
      <c r="D29" s="9" t="s">
        <v>21</v>
      </c>
      <c r="E29" s="9" t="s">
        <v>21</v>
      </c>
      <c r="F29" s="9" t="s">
        <v>22</v>
      </c>
      <c r="G29" s="11" t="s">
        <v>19</v>
      </c>
      <c r="H29" s="2"/>
      <c r="I29" s="7"/>
      <c r="J29" s="4"/>
      <c r="K29" s="12"/>
    </row>
    <row r="30" spans="1:19" x14ac:dyDescent="0.3">
      <c r="A30" s="1"/>
      <c r="B30" s="1"/>
      <c r="C30" s="1"/>
      <c r="D30" s="1"/>
      <c r="E30" s="1"/>
      <c r="F30" s="1"/>
      <c r="G30" s="9" t="s">
        <v>1355</v>
      </c>
      <c r="H30" s="9" t="s">
        <v>24</v>
      </c>
      <c r="I30" s="9" t="s">
        <v>1296</v>
      </c>
      <c r="J30" s="3" t="s">
        <v>1356</v>
      </c>
      <c r="K30" s="13" t="s">
        <v>1357</v>
      </c>
      <c r="L30" s="15">
        <f t="shared" si="3"/>
        <v>3.0625000000000013E-2</v>
      </c>
      <c r="M30">
        <f t="shared" si="4"/>
        <v>7</v>
      </c>
    </row>
    <row r="31" spans="1:19" x14ac:dyDescent="0.3">
      <c r="A31" s="1"/>
      <c r="B31" s="1"/>
      <c r="C31" s="1"/>
      <c r="D31" s="1"/>
      <c r="E31" s="1"/>
      <c r="F31" s="1"/>
      <c r="G31" s="9" t="s">
        <v>1358</v>
      </c>
      <c r="H31" s="9" t="s">
        <v>24</v>
      </c>
      <c r="I31" s="9" t="s">
        <v>1296</v>
      </c>
      <c r="J31" s="3" t="s">
        <v>1359</v>
      </c>
      <c r="K31" s="13" t="s">
        <v>1360</v>
      </c>
      <c r="L31" s="15">
        <f t="shared" si="3"/>
        <v>2.8437500000000004E-2</v>
      </c>
      <c r="M31">
        <f t="shared" si="4"/>
        <v>13</v>
      </c>
    </row>
    <row r="32" spans="1:19" x14ac:dyDescent="0.3">
      <c r="A32" s="1"/>
      <c r="B32" s="1"/>
      <c r="C32" s="9" t="s">
        <v>93</v>
      </c>
      <c r="D32" s="9" t="s">
        <v>94</v>
      </c>
      <c r="E32" s="9" t="s">
        <v>94</v>
      </c>
      <c r="F32" s="9" t="s">
        <v>22</v>
      </c>
      <c r="G32" s="9" t="s">
        <v>1361</v>
      </c>
      <c r="H32" s="9" t="s">
        <v>39</v>
      </c>
      <c r="I32" s="9" t="s">
        <v>1296</v>
      </c>
      <c r="J32" s="3" t="s">
        <v>1362</v>
      </c>
      <c r="K32" s="13" t="s">
        <v>1363</v>
      </c>
      <c r="L32" s="15">
        <f t="shared" si="3"/>
        <v>2.1041666666666625E-2</v>
      </c>
      <c r="M32">
        <f t="shared" si="4"/>
        <v>6</v>
      </c>
    </row>
    <row r="33" spans="1:13" x14ac:dyDescent="0.3">
      <c r="A33" s="1"/>
      <c r="B33" s="1"/>
      <c r="C33" s="9" t="s">
        <v>98</v>
      </c>
      <c r="D33" s="9" t="s">
        <v>99</v>
      </c>
      <c r="E33" s="9" t="s">
        <v>99</v>
      </c>
      <c r="F33" s="9" t="s">
        <v>22</v>
      </c>
      <c r="G33" s="9" t="s">
        <v>1364</v>
      </c>
      <c r="H33" s="9" t="s">
        <v>39</v>
      </c>
      <c r="I33" s="9" t="s">
        <v>1296</v>
      </c>
      <c r="J33" s="3" t="s">
        <v>1365</v>
      </c>
      <c r="K33" s="13" t="s">
        <v>1366</v>
      </c>
      <c r="L33" s="15">
        <f t="shared" si="3"/>
        <v>1.9641203703703702E-2</v>
      </c>
      <c r="M33">
        <f t="shared" si="4"/>
        <v>9</v>
      </c>
    </row>
    <row r="34" spans="1:13" x14ac:dyDescent="0.3">
      <c r="A34" s="1"/>
      <c r="B34" s="1"/>
      <c r="C34" s="9" t="s">
        <v>798</v>
      </c>
      <c r="D34" s="9" t="s">
        <v>799</v>
      </c>
      <c r="E34" s="9" t="s">
        <v>799</v>
      </c>
      <c r="F34" s="9" t="s">
        <v>22</v>
      </c>
      <c r="G34" s="9" t="s">
        <v>1367</v>
      </c>
      <c r="H34" s="9" t="s">
        <v>39</v>
      </c>
      <c r="I34" s="9" t="s">
        <v>1296</v>
      </c>
      <c r="J34" s="3" t="s">
        <v>1368</v>
      </c>
      <c r="K34" s="13" t="s">
        <v>1369</v>
      </c>
      <c r="L34" s="15">
        <f t="shared" si="3"/>
        <v>2.6851851851851904E-2</v>
      </c>
      <c r="M34">
        <f t="shared" si="4"/>
        <v>15</v>
      </c>
    </row>
    <row r="35" spans="1:13" x14ac:dyDescent="0.3">
      <c r="A35" s="1"/>
      <c r="B35" s="1"/>
      <c r="C35" s="9" t="s">
        <v>530</v>
      </c>
      <c r="D35" s="9" t="s">
        <v>531</v>
      </c>
      <c r="E35" s="9" t="s">
        <v>531</v>
      </c>
      <c r="F35" s="9" t="s">
        <v>22</v>
      </c>
      <c r="G35" s="9" t="s">
        <v>1370</v>
      </c>
      <c r="H35" s="9" t="s">
        <v>39</v>
      </c>
      <c r="I35" s="9" t="s">
        <v>1296</v>
      </c>
      <c r="J35" s="3" t="s">
        <v>1371</v>
      </c>
      <c r="K35" s="13" t="s">
        <v>1372</v>
      </c>
      <c r="L35" s="15">
        <f t="shared" si="3"/>
        <v>1.8217592592592535E-2</v>
      </c>
      <c r="M35">
        <f t="shared" si="4"/>
        <v>8</v>
      </c>
    </row>
    <row r="36" spans="1:13" x14ac:dyDescent="0.3">
      <c r="A36" s="9" t="s">
        <v>114</v>
      </c>
      <c r="B36" s="9" t="s">
        <v>115</v>
      </c>
      <c r="C36" s="11" t="s">
        <v>19</v>
      </c>
      <c r="D36" s="2"/>
      <c r="E36" s="2"/>
      <c r="F36" s="2"/>
      <c r="G36" s="2"/>
      <c r="H36" s="2"/>
      <c r="I36" s="7"/>
      <c r="J36" s="4"/>
      <c r="K36" s="12"/>
    </row>
    <row r="37" spans="1:13" x14ac:dyDescent="0.3">
      <c r="A37" s="1"/>
      <c r="B37" s="1"/>
      <c r="C37" s="9" t="s">
        <v>116</v>
      </c>
      <c r="D37" s="9" t="s">
        <v>117</v>
      </c>
      <c r="E37" s="11" t="s">
        <v>19</v>
      </c>
      <c r="F37" s="2"/>
      <c r="G37" s="2"/>
      <c r="H37" s="2"/>
      <c r="I37" s="7"/>
      <c r="J37" s="4"/>
      <c r="K37" s="12"/>
    </row>
    <row r="38" spans="1:13" x14ac:dyDescent="0.3">
      <c r="A38" s="1"/>
      <c r="B38" s="1"/>
      <c r="C38" s="1"/>
      <c r="D38" s="1"/>
      <c r="E38" s="9" t="s">
        <v>117</v>
      </c>
      <c r="F38" s="9" t="s">
        <v>22</v>
      </c>
      <c r="G38" s="11" t="s">
        <v>19</v>
      </c>
      <c r="H38" s="2"/>
      <c r="I38" s="7"/>
      <c r="J38" s="4"/>
      <c r="K38" s="12"/>
    </row>
    <row r="39" spans="1:13" x14ac:dyDescent="0.3">
      <c r="A39" s="1"/>
      <c r="B39" s="1"/>
      <c r="C39" s="1"/>
      <c r="D39" s="1"/>
      <c r="E39" s="1"/>
      <c r="F39" s="1"/>
      <c r="G39" s="9" t="s">
        <v>1373</v>
      </c>
      <c r="H39" s="9" t="s">
        <v>119</v>
      </c>
      <c r="I39" s="9" t="s">
        <v>1296</v>
      </c>
      <c r="J39" s="3" t="s">
        <v>1374</v>
      </c>
      <c r="K39" s="13" t="s">
        <v>1375</v>
      </c>
      <c r="L39" s="15">
        <f t="shared" si="3"/>
        <v>1.1458333333333348E-2</v>
      </c>
      <c r="M39">
        <f t="shared" si="4"/>
        <v>3</v>
      </c>
    </row>
    <row r="40" spans="1:13" x14ac:dyDescent="0.3">
      <c r="A40" s="1"/>
      <c r="B40" s="1"/>
      <c r="C40" s="1"/>
      <c r="D40" s="1"/>
      <c r="E40" s="1"/>
      <c r="F40" s="1"/>
      <c r="G40" s="9" t="s">
        <v>1376</v>
      </c>
      <c r="H40" s="9" t="s">
        <v>119</v>
      </c>
      <c r="I40" s="9" t="s">
        <v>1296</v>
      </c>
      <c r="J40" s="3" t="s">
        <v>1377</v>
      </c>
      <c r="K40" s="13" t="s">
        <v>1378</v>
      </c>
      <c r="L40" s="15">
        <f t="shared" si="3"/>
        <v>3.2546296296296295E-2</v>
      </c>
      <c r="M40">
        <f t="shared" si="4"/>
        <v>7</v>
      </c>
    </row>
    <row r="41" spans="1:13" x14ac:dyDescent="0.3">
      <c r="A41" s="1"/>
      <c r="B41" s="1"/>
      <c r="C41" s="1"/>
      <c r="D41" s="1"/>
      <c r="E41" s="1"/>
      <c r="F41" s="1"/>
      <c r="G41" s="9" t="s">
        <v>1379</v>
      </c>
      <c r="H41" s="9" t="s">
        <v>119</v>
      </c>
      <c r="I41" s="9" t="s">
        <v>1296</v>
      </c>
      <c r="J41" s="3" t="s">
        <v>1380</v>
      </c>
      <c r="K41" s="13" t="s">
        <v>1381</v>
      </c>
      <c r="L41" s="15">
        <f t="shared" si="3"/>
        <v>4.5393518518518472E-2</v>
      </c>
      <c r="M41">
        <f t="shared" si="4"/>
        <v>11</v>
      </c>
    </row>
    <row r="42" spans="1:13" x14ac:dyDescent="0.3">
      <c r="A42" s="1"/>
      <c r="B42" s="1"/>
      <c r="C42" s="1"/>
      <c r="D42" s="1"/>
      <c r="E42" s="1"/>
      <c r="F42" s="1"/>
      <c r="G42" s="9" t="s">
        <v>1382</v>
      </c>
      <c r="H42" s="9" t="s">
        <v>119</v>
      </c>
      <c r="I42" s="9" t="s">
        <v>1296</v>
      </c>
      <c r="J42" s="3" t="s">
        <v>1383</v>
      </c>
      <c r="K42" s="13" t="s">
        <v>1384</v>
      </c>
      <c r="L42" s="15">
        <f t="shared" si="3"/>
        <v>1.8391203703703618E-2</v>
      </c>
      <c r="M42">
        <f t="shared" si="4"/>
        <v>17</v>
      </c>
    </row>
    <row r="43" spans="1:13" x14ac:dyDescent="0.3">
      <c r="A43" s="1"/>
      <c r="B43" s="1"/>
      <c r="C43" s="1"/>
      <c r="D43" s="1"/>
      <c r="E43" s="1"/>
      <c r="F43" s="1"/>
      <c r="G43" s="9" t="s">
        <v>1385</v>
      </c>
      <c r="H43" s="9" t="s">
        <v>119</v>
      </c>
      <c r="I43" s="9" t="s">
        <v>1296</v>
      </c>
      <c r="J43" s="3" t="s">
        <v>1386</v>
      </c>
      <c r="K43" s="13" t="s">
        <v>1387</v>
      </c>
      <c r="L43" s="15">
        <f t="shared" si="3"/>
        <v>1.2303240740740629E-2</v>
      </c>
      <c r="M43">
        <f t="shared" si="4"/>
        <v>20</v>
      </c>
    </row>
    <row r="44" spans="1:13" x14ac:dyDescent="0.3">
      <c r="A44" s="1"/>
      <c r="B44" s="1"/>
      <c r="C44" s="1"/>
      <c r="D44" s="1"/>
      <c r="E44" s="1"/>
      <c r="F44" s="1"/>
      <c r="G44" s="9" t="s">
        <v>1388</v>
      </c>
      <c r="H44" s="9" t="s">
        <v>119</v>
      </c>
      <c r="I44" s="9" t="s">
        <v>1296</v>
      </c>
      <c r="J44" s="3" t="s">
        <v>1389</v>
      </c>
      <c r="K44" s="16" t="s">
        <v>1390</v>
      </c>
      <c r="L44" s="15">
        <f t="shared" si="3"/>
        <v>2.9212962962962941E-2</v>
      </c>
      <c r="M44">
        <f t="shared" si="4"/>
        <v>23</v>
      </c>
    </row>
    <row r="45" spans="1:13" x14ac:dyDescent="0.3">
      <c r="A45" s="1"/>
      <c r="B45" s="1"/>
      <c r="C45" s="1"/>
      <c r="D45" s="1"/>
      <c r="E45" s="9" t="s">
        <v>125</v>
      </c>
      <c r="F45" s="9" t="s">
        <v>22</v>
      </c>
      <c r="G45" s="11" t="s">
        <v>19</v>
      </c>
      <c r="H45" s="2"/>
      <c r="I45" s="7"/>
      <c r="J45" s="4"/>
      <c r="K45" s="12"/>
    </row>
    <row r="46" spans="1:13" x14ac:dyDescent="0.3">
      <c r="A46" s="1"/>
      <c r="B46" s="1"/>
      <c r="C46" s="1"/>
      <c r="D46" s="1"/>
      <c r="E46" s="1"/>
      <c r="F46" s="1"/>
      <c r="G46" s="9" t="s">
        <v>1391</v>
      </c>
      <c r="H46" s="9" t="s">
        <v>127</v>
      </c>
      <c r="I46" s="9" t="s">
        <v>1296</v>
      </c>
      <c r="J46" s="3" t="s">
        <v>1392</v>
      </c>
      <c r="K46" s="13" t="s">
        <v>1393</v>
      </c>
      <c r="L46" s="15">
        <f t="shared" si="3"/>
        <v>1.7592592592592576E-2</v>
      </c>
      <c r="M46">
        <f t="shared" si="4"/>
        <v>2</v>
      </c>
    </row>
    <row r="47" spans="1:13" x14ac:dyDescent="0.3">
      <c r="A47" s="1"/>
      <c r="B47" s="1"/>
      <c r="C47" s="1"/>
      <c r="D47" s="1"/>
      <c r="E47" s="1"/>
      <c r="F47" s="1"/>
      <c r="G47" s="9" t="s">
        <v>1394</v>
      </c>
      <c r="H47" s="9" t="s">
        <v>127</v>
      </c>
      <c r="I47" s="9" t="s">
        <v>1296</v>
      </c>
      <c r="J47" s="3" t="s">
        <v>1395</v>
      </c>
      <c r="K47" s="13" t="s">
        <v>1396</v>
      </c>
      <c r="L47" s="15">
        <f t="shared" si="3"/>
        <v>2.0219907407407395E-2</v>
      </c>
      <c r="M47">
        <f t="shared" si="4"/>
        <v>4</v>
      </c>
    </row>
    <row r="48" spans="1:13" x14ac:dyDescent="0.3">
      <c r="A48" s="1"/>
      <c r="B48" s="1"/>
      <c r="C48" s="1"/>
      <c r="D48" s="1"/>
      <c r="E48" s="1"/>
      <c r="F48" s="1"/>
      <c r="G48" s="9" t="s">
        <v>1397</v>
      </c>
      <c r="H48" s="9" t="s">
        <v>127</v>
      </c>
      <c r="I48" s="9" t="s">
        <v>1296</v>
      </c>
      <c r="J48" s="3" t="s">
        <v>1398</v>
      </c>
      <c r="K48" s="13" t="s">
        <v>1399</v>
      </c>
      <c r="L48" s="15">
        <f t="shared" si="3"/>
        <v>2.1712962962962934E-2</v>
      </c>
      <c r="M48">
        <f t="shared" si="4"/>
        <v>7</v>
      </c>
    </row>
    <row r="49" spans="1:13" x14ac:dyDescent="0.3">
      <c r="A49" s="1"/>
      <c r="B49" s="1"/>
      <c r="C49" s="1"/>
      <c r="D49" s="1"/>
      <c r="E49" s="1"/>
      <c r="F49" s="1"/>
      <c r="G49" s="9" t="s">
        <v>1400</v>
      </c>
      <c r="H49" s="9" t="s">
        <v>127</v>
      </c>
      <c r="I49" s="9" t="s">
        <v>1296</v>
      </c>
      <c r="J49" s="3" t="s">
        <v>1401</v>
      </c>
      <c r="K49" s="13" t="s">
        <v>1402</v>
      </c>
      <c r="L49" s="15">
        <f t="shared" si="3"/>
        <v>1.8483796296296373E-2</v>
      </c>
      <c r="M49">
        <f t="shared" si="4"/>
        <v>10</v>
      </c>
    </row>
    <row r="50" spans="1:13" x14ac:dyDescent="0.3">
      <c r="A50" s="1"/>
      <c r="B50" s="1"/>
      <c r="C50" s="1"/>
      <c r="D50" s="1"/>
      <c r="E50" s="1"/>
      <c r="F50" s="1"/>
      <c r="G50" s="9" t="s">
        <v>1403</v>
      </c>
      <c r="H50" s="9" t="s">
        <v>127</v>
      </c>
      <c r="I50" s="9" t="s">
        <v>1296</v>
      </c>
      <c r="J50" s="3" t="s">
        <v>1404</v>
      </c>
      <c r="K50" s="13" t="s">
        <v>1405</v>
      </c>
      <c r="L50" s="15">
        <f t="shared" si="3"/>
        <v>1.373842592592589E-2</v>
      </c>
      <c r="M50">
        <f t="shared" si="4"/>
        <v>20</v>
      </c>
    </row>
    <row r="51" spans="1:13" x14ac:dyDescent="0.3">
      <c r="A51" s="1"/>
      <c r="B51" s="1"/>
      <c r="C51" s="1"/>
      <c r="D51" s="1"/>
      <c r="E51" s="1"/>
      <c r="F51" s="1"/>
      <c r="G51" s="9" t="s">
        <v>1406</v>
      </c>
      <c r="H51" s="9" t="s">
        <v>127</v>
      </c>
      <c r="I51" s="9" t="s">
        <v>1296</v>
      </c>
      <c r="J51" s="3" t="s">
        <v>1407</v>
      </c>
      <c r="K51" s="16" t="s">
        <v>1408</v>
      </c>
      <c r="L51" s="15">
        <f t="shared" si="3"/>
        <v>1.6597222222222152E-2</v>
      </c>
      <c r="M51">
        <f t="shared" si="4"/>
        <v>23</v>
      </c>
    </row>
    <row r="52" spans="1:13" x14ac:dyDescent="0.3">
      <c r="A52" s="1"/>
      <c r="B52" s="1"/>
      <c r="C52" s="9" t="s">
        <v>136</v>
      </c>
      <c r="D52" s="9" t="s">
        <v>137</v>
      </c>
      <c r="E52" s="9" t="s">
        <v>137</v>
      </c>
      <c r="F52" s="9" t="s">
        <v>22</v>
      </c>
      <c r="G52" s="11" t="s">
        <v>19</v>
      </c>
      <c r="H52" s="2"/>
      <c r="I52" s="7"/>
      <c r="J52" s="4"/>
      <c r="K52" s="12"/>
    </row>
    <row r="53" spans="1:13" x14ac:dyDescent="0.3">
      <c r="A53" s="1"/>
      <c r="B53" s="1"/>
      <c r="C53" s="1"/>
      <c r="D53" s="1"/>
      <c r="E53" s="1"/>
      <c r="F53" s="1"/>
      <c r="G53" s="9" t="s">
        <v>1409</v>
      </c>
      <c r="H53" s="9" t="s">
        <v>119</v>
      </c>
      <c r="I53" s="9" t="s">
        <v>1296</v>
      </c>
      <c r="J53" s="3" t="s">
        <v>1410</v>
      </c>
      <c r="K53" s="13" t="s">
        <v>1411</v>
      </c>
      <c r="L53" s="15">
        <f t="shared" si="3"/>
        <v>1.3564814814814835E-2</v>
      </c>
      <c r="M53">
        <f t="shared" si="4"/>
        <v>4</v>
      </c>
    </row>
    <row r="54" spans="1:13" x14ac:dyDescent="0.3">
      <c r="A54" s="1"/>
      <c r="B54" s="1"/>
      <c r="C54" s="1"/>
      <c r="D54" s="1"/>
      <c r="E54" s="1"/>
      <c r="F54" s="1"/>
      <c r="G54" s="9" t="s">
        <v>1412</v>
      </c>
      <c r="H54" s="9" t="s">
        <v>119</v>
      </c>
      <c r="I54" s="9" t="s">
        <v>1296</v>
      </c>
      <c r="J54" s="3" t="s">
        <v>1413</v>
      </c>
      <c r="K54" s="13" t="s">
        <v>1414</v>
      </c>
      <c r="L54" s="15">
        <f t="shared" si="3"/>
        <v>2.1319444444444446E-2</v>
      </c>
      <c r="M54">
        <f t="shared" si="4"/>
        <v>8</v>
      </c>
    </row>
    <row r="55" spans="1:13" x14ac:dyDescent="0.3">
      <c r="A55" s="1"/>
      <c r="B55" s="1"/>
      <c r="C55" s="1"/>
      <c r="D55" s="1"/>
      <c r="E55" s="1"/>
      <c r="F55" s="1"/>
      <c r="G55" s="9" t="s">
        <v>1415</v>
      </c>
      <c r="H55" s="9" t="s">
        <v>119</v>
      </c>
      <c r="I55" s="9" t="s">
        <v>1296</v>
      </c>
      <c r="J55" s="3" t="s">
        <v>1416</v>
      </c>
      <c r="K55" s="13" t="s">
        <v>1417</v>
      </c>
      <c r="L55" s="15">
        <f t="shared" si="3"/>
        <v>1.7650462962963021E-2</v>
      </c>
      <c r="M55">
        <f t="shared" si="4"/>
        <v>13</v>
      </c>
    </row>
    <row r="56" spans="1:13" x14ac:dyDescent="0.3">
      <c r="A56" s="1"/>
      <c r="B56" s="1"/>
      <c r="C56" s="9" t="s">
        <v>147</v>
      </c>
      <c r="D56" s="9" t="s">
        <v>148</v>
      </c>
      <c r="E56" s="9" t="s">
        <v>149</v>
      </c>
      <c r="F56" s="9" t="s">
        <v>22</v>
      </c>
      <c r="G56" s="9" t="s">
        <v>1418</v>
      </c>
      <c r="H56" s="9" t="s">
        <v>127</v>
      </c>
      <c r="I56" s="9" t="s">
        <v>1296</v>
      </c>
      <c r="J56" s="3" t="s">
        <v>1419</v>
      </c>
      <c r="K56" s="13" t="s">
        <v>1420</v>
      </c>
      <c r="L56" s="15">
        <f t="shared" si="3"/>
        <v>2.1412037037036979E-2</v>
      </c>
      <c r="M56">
        <f t="shared" si="4"/>
        <v>13</v>
      </c>
    </row>
    <row r="57" spans="1:13" x14ac:dyDescent="0.3">
      <c r="A57" s="1"/>
      <c r="B57" s="1"/>
      <c r="C57" s="9" t="s">
        <v>322</v>
      </c>
      <c r="D57" s="9" t="s">
        <v>323</v>
      </c>
      <c r="E57" s="9" t="s">
        <v>1015</v>
      </c>
      <c r="F57" s="9" t="s">
        <v>22</v>
      </c>
      <c r="G57" s="11" t="s">
        <v>19</v>
      </c>
      <c r="H57" s="2"/>
      <c r="I57" s="7"/>
      <c r="J57" s="4"/>
      <c r="K57" s="12"/>
    </row>
    <row r="58" spans="1:13" x14ac:dyDescent="0.3">
      <c r="A58" s="1"/>
      <c r="B58" s="1"/>
      <c r="C58" s="1"/>
      <c r="D58" s="1"/>
      <c r="E58" s="1"/>
      <c r="F58" s="1"/>
      <c r="G58" s="9" t="s">
        <v>1421</v>
      </c>
      <c r="H58" s="9" t="s">
        <v>127</v>
      </c>
      <c r="I58" s="9" t="s">
        <v>1296</v>
      </c>
      <c r="J58" s="3" t="s">
        <v>1422</v>
      </c>
      <c r="K58" s="13" t="s">
        <v>1423</v>
      </c>
      <c r="L58" s="15">
        <f t="shared" si="3"/>
        <v>2.1712962962962989E-2</v>
      </c>
      <c r="M58">
        <f t="shared" si="4"/>
        <v>7</v>
      </c>
    </row>
    <row r="59" spans="1:13" x14ac:dyDescent="0.3">
      <c r="A59" s="1"/>
      <c r="B59" s="1"/>
      <c r="C59" s="1"/>
      <c r="D59" s="1"/>
      <c r="E59" s="1"/>
      <c r="F59" s="1"/>
      <c r="G59" s="9" t="s">
        <v>1424</v>
      </c>
      <c r="H59" s="9" t="s">
        <v>127</v>
      </c>
      <c r="I59" s="9" t="s">
        <v>1296</v>
      </c>
      <c r="J59" s="3" t="s">
        <v>1425</v>
      </c>
      <c r="K59" s="13" t="s">
        <v>1426</v>
      </c>
      <c r="L59" s="15">
        <f t="shared" si="3"/>
        <v>3.0196759259259354E-2</v>
      </c>
      <c r="M59">
        <f t="shared" si="4"/>
        <v>17</v>
      </c>
    </row>
    <row r="60" spans="1:13" x14ac:dyDescent="0.3">
      <c r="A60" s="1"/>
      <c r="B60" s="1"/>
      <c r="C60" s="9" t="s">
        <v>93</v>
      </c>
      <c r="D60" s="9" t="s">
        <v>94</v>
      </c>
      <c r="E60" s="11" t="s">
        <v>19</v>
      </c>
      <c r="F60" s="2"/>
      <c r="G60" s="2"/>
      <c r="H60" s="2"/>
      <c r="I60" s="7"/>
      <c r="J60" s="4"/>
      <c r="K60" s="12"/>
    </row>
    <row r="61" spans="1:13" x14ac:dyDescent="0.3">
      <c r="A61" s="1"/>
      <c r="B61" s="1"/>
      <c r="C61" s="1"/>
      <c r="D61" s="1"/>
      <c r="E61" s="9" t="s">
        <v>94</v>
      </c>
      <c r="F61" s="9" t="s">
        <v>22</v>
      </c>
      <c r="G61" s="11" t="s">
        <v>19</v>
      </c>
      <c r="H61" s="2"/>
      <c r="I61" s="7"/>
      <c r="J61" s="4"/>
      <c r="K61" s="12"/>
    </row>
    <row r="62" spans="1:13" x14ac:dyDescent="0.3">
      <c r="A62" s="1"/>
      <c r="B62" s="1"/>
      <c r="C62" s="1"/>
      <c r="D62" s="1"/>
      <c r="E62" s="1"/>
      <c r="F62" s="1"/>
      <c r="G62" s="9" t="s">
        <v>1427</v>
      </c>
      <c r="H62" s="9" t="s">
        <v>119</v>
      </c>
      <c r="I62" s="9" t="s">
        <v>1296</v>
      </c>
      <c r="J62" s="3" t="s">
        <v>1428</v>
      </c>
      <c r="K62" s="13" t="s">
        <v>1429</v>
      </c>
      <c r="L62" s="15">
        <f t="shared" si="3"/>
        <v>1.5023148148148147E-2</v>
      </c>
      <c r="M62">
        <f t="shared" si="4"/>
        <v>6</v>
      </c>
    </row>
    <row r="63" spans="1:13" x14ac:dyDescent="0.3">
      <c r="A63" s="1"/>
      <c r="B63" s="1"/>
      <c r="C63" s="1"/>
      <c r="D63" s="1"/>
      <c r="E63" s="1"/>
      <c r="F63" s="1"/>
      <c r="G63" s="9" t="s">
        <v>1430</v>
      </c>
      <c r="H63" s="9" t="s">
        <v>119</v>
      </c>
      <c r="I63" s="9" t="s">
        <v>1296</v>
      </c>
      <c r="J63" s="3" t="s">
        <v>1431</v>
      </c>
      <c r="K63" s="13" t="s">
        <v>1432</v>
      </c>
      <c r="L63" s="15">
        <f t="shared" si="3"/>
        <v>1.7048611111111112E-2</v>
      </c>
      <c r="M63">
        <f t="shared" si="4"/>
        <v>5</v>
      </c>
    </row>
    <row r="64" spans="1:13" x14ac:dyDescent="0.3">
      <c r="A64" s="1"/>
      <c r="B64" s="1"/>
      <c r="C64" s="1"/>
      <c r="D64" s="1"/>
      <c r="E64" s="1"/>
      <c r="F64" s="1"/>
      <c r="G64" s="9" t="s">
        <v>1433</v>
      </c>
      <c r="H64" s="9" t="s">
        <v>119</v>
      </c>
      <c r="I64" s="9" t="s">
        <v>1296</v>
      </c>
      <c r="J64" s="3" t="s">
        <v>1434</v>
      </c>
      <c r="K64" s="13" t="s">
        <v>1435</v>
      </c>
      <c r="L64" s="15">
        <f t="shared" si="3"/>
        <v>2.0543981481481455E-2</v>
      </c>
      <c r="M64">
        <f t="shared" si="4"/>
        <v>10</v>
      </c>
    </row>
    <row r="65" spans="1:13" x14ac:dyDescent="0.3">
      <c r="A65" s="1"/>
      <c r="B65" s="1"/>
      <c r="C65" s="1"/>
      <c r="D65" s="1"/>
      <c r="E65" s="9" t="s">
        <v>164</v>
      </c>
      <c r="F65" s="9" t="s">
        <v>22</v>
      </c>
      <c r="G65" s="11" t="s">
        <v>19</v>
      </c>
      <c r="H65" s="2"/>
      <c r="I65" s="7"/>
      <c r="J65" s="4"/>
      <c r="K65" s="12"/>
    </row>
    <row r="66" spans="1:13" x14ac:dyDescent="0.3">
      <c r="A66" s="1"/>
      <c r="B66" s="1"/>
      <c r="C66" s="1"/>
      <c r="D66" s="1"/>
      <c r="E66" s="1"/>
      <c r="F66" s="1"/>
      <c r="G66" s="9" t="s">
        <v>1436</v>
      </c>
      <c r="H66" s="9" t="s">
        <v>119</v>
      </c>
      <c r="I66" s="9" t="s">
        <v>1296</v>
      </c>
      <c r="J66" s="3" t="s">
        <v>1437</v>
      </c>
      <c r="K66" s="13" t="s">
        <v>1438</v>
      </c>
      <c r="L66" s="15">
        <f t="shared" si="3"/>
        <v>2.1851851851851789E-2</v>
      </c>
      <c r="M66">
        <f t="shared" si="4"/>
        <v>17</v>
      </c>
    </row>
    <row r="67" spans="1:13" x14ac:dyDescent="0.3">
      <c r="A67" s="1"/>
      <c r="B67" s="1"/>
      <c r="C67" s="1"/>
      <c r="D67" s="1"/>
      <c r="E67" s="1"/>
      <c r="F67" s="1"/>
      <c r="G67" s="9" t="s">
        <v>1439</v>
      </c>
      <c r="H67" s="9" t="s">
        <v>119</v>
      </c>
      <c r="I67" s="9" t="s">
        <v>1296</v>
      </c>
      <c r="J67" s="3" t="s">
        <v>1440</v>
      </c>
      <c r="K67" s="13" t="s">
        <v>1441</v>
      </c>
      <c r="L67" s="15">
        <f t="shared" ref="L67:L130" si="5">K67-J67</f>
        <v>1.4687499999999964E-2</v>
      </c>
      <c r="M67">
        <f t="shared" ref="M67:M130" si="6">HOUR(J67)</f>
        <v>21</v>
      </c>
    </row>
    <row r="68" spans="1:13" x14ac:dyDescent="0.3">
      <c r="A68" s="1"/>
      <c r="B68" s="1"/>
      <c r="C68" s="9" t="s">
        <v>177</v>
      </c>
      <c r="D68" s="9" t="s">
        <v>178</v>
      </c>
      <c r="E68" s="9" t="s">
        <v>178</v>
      </c>
      <c r="F68" s="9" t="s">
        <v>22</v>
      </c>
      <c r="G68" s="11" t="s">
        <v>19</v>
      </c>
      <c r="H68" s="2"/>
      <c r="I68" s="7"/>
      <c r="J68" s="4"/>
      <c r="K68" s="12"/>
    </row>
    <row r="69" spans="1:13" x14ac:dyDescent="0.3">
      <c r="A69" s="1"/>
      <c r="B69" s="1"/>
      <c r="C69" s="1"/>
      <c r="D69" s="1"/>
      <c r="E69" s="1"/>
      <c r="F69" s="1"/>
      <c r="G69" s="9" t="s">
        <v>1442</v>
      </c>
      <c r="H69" s="9" t="s">
        <v>119</v>
      </c>
      <c r="I69" s="9" t="s">
        <v>1296</v>
      </c>
      <c r="J69" s="3" t="s">
        <v>1443</v>
      </c>
      <c r="K69" s="13" t="s">
        <v>1444</v>
      </c>
      <c r="L69" s="15">
        <f t="shared" si="5"/>
        <v>3.5358796296296346E-2</v>
      </c>
      <c r="M69">
        <f t="shared" si="6"/>
        <v>11</v>
      </c>
    </row>
    <row r="70" spans="1:13" x14ac:dyDescent="0.3">
      <c r="A70" s="1"/>
      <c r="B70" s="1"/>
      <c r="C70" s="1"/>
      <c r="D70" s="1"/>
      <c r="E70" s="1"/>
      <c r="F70" s="1"/>
      <c r="G70" s="9" t="s">
        <v>1445</v>
      </c>
      <c r="H70" s="9" t="s">
        <v>119</v>
      </c>
      <c r="I70" s="9" t="s">
        <v>1296</v>
      </c>
      <c r="J70" s="3" t="s">
        <v>1446</v>
      </c>
      <c r="K70" s="13" t="s">
        <v>1447</v>
      </c>
      <c r="L70" s="15">
        <f t="shared" si="5"/>
        <v>3.0115740740740748E-2</v>
      </c>
      <c r="M70">
        <f t="shared" si="6"/>
        <v>17</v>
      </c>
    </row>
    <row r="71" spans="1:13" x14ac:dyDescent="0.3">
      <c r="A71" s="1"/>
      <c r="B71" s="1"/>
      <c r="C71" s="9" t="s">
        <v>607</v>
      </c>
      <c r="D71" s="9" t="s">
        <v>608</v>
      </c>
      <c r="E71" s="9" t="s">
        <v>608</v>
      </c>
      <c r="F71" s="9" t="s">
        <v>22</v>
      </c>
      <c r="G71" s="9" t="s">
        <v>1448</v>
      </c>
      <c r="H71" s="9" t="s">
        <v>119</v>
      </c>
      <c r="I71" s="9" t="s">
        <v>1296</v>
      </c>
      <c r="J71" s="3" t="s">
        <v>1449</v>
      </c>
      <c r="K71" s="13" t="s">
        <v>1450</v>
      </c>
      <c r="L71" s="15">
        <f t="shared" si="5"/>
        <v>1.6967592592592617E-2</v>
      </c>
      <c r="M71">
        <f t="shared" si="6"/>
        <v>4</v>
      </c>
    </row>
    <row r="72" spans="1:13" x14ac:dyDescent="0.3">
      <c r="A72" s="1"/>
      <c r="B72" s="1"/>
      <c r="C72" s="9" t="s">
        <v>47</v>
      </c>
      <c r="D72" s="9" t="s">
        <v>48</v>
      </c>
      <c r="E72" s="9" t="s">
        <v>190</v>
      </c>
      <c r="F72" s="9" t="s">
        <v>22</v>
      </c>
      <c r="G72" s="11" t="s">
        <v>19</v>
      </c>
      <c r="H72" s="2"/>
      <c r="I72" s="7"/>
      <c r="J72" s="4"/>
      <c r="K72" s="12"/>
    </row>
    <row r="73" spans="1:13" x14ac:dyDescent="0.3">
      <c r="A73" s="1"/>
      <c r="B73" s="1"/>
      <c r="C73" s="1"/>
      <c r="D73" s="1"/>
      <c r="E73" s="1"/>
      <c r="F73" s="1"/>
      <c r="G73" s="9" t="s">
        <v>1451</v>
      </c>
      <c r="H73" s="9" t="s">
        <v>192</v>
      </c>
      <c r="I73" s="9" t="s">
        <v>1296</v>
      </c>
      <c r="J73" s="3" t="s">
        <v>1452</v>
      </c>
      <c r="K73" s="13" t="s">
        <v>1453</v>
      </c>
      <c r="L73" s="15">
        <f t="shared" si="5"/>
        <v>1.6597222222222263E-2</v>
      </c>
      <c r="M73">
        <f t="shared" si="6"/>
        <v>6</v>
      </c>
    </row>
    <row r="74" spans="1:13" x14ac:dyDescent="0.3">
      <c r="A74" s="1"/>
      <c r="B74" s="1"/>
      <c r="C74" s="1"/>
      <c r="D74" s="1"/>
      <c r="E74" s="1"/>
      <c r="F74" s="1"/>
      <c r="G74" s="9" t="s">
        <v>1454</v>
      </c>
      <c r="H74" s="9" t="s">
        <v>192</v>
      </c>
      <c r="I74" s="9" t="s">
        <v>1296</v>
      </c>
      <c r="J74" s="3" t="s">
        <v>1455</v>
      </c>
      <c r="K74" s="13" t="s">
        <v>1456</v>
      </c>
      <c r="L74" s="15">
        <f t="shared" si="5"/>
        <v>3.2789351851851944E-2</v>
      </c>
      <c r="M74">
        <f t="shared" si="6"/>
        <v>11</v>
      </c>
    </row>
    <row r="75" spans="1:13" x14ac:dyDescent="0.3">
      <c r="A75" s="1"/>
      <c r="B75" s="1"/>
      <c r="C75" s="1"/>
      <c r="D75" s="1"/>
      <c r="E75" s="1"/>
      <c r="F75" s="1"/>
      <c r="G75" s="9" t="s">
        <v>1457</v>
      </c>
      <c r="H75" s="9" t="s">
        <v>192</v>
      </c>
      <c r="I75" s="9" t="s">
        <v>1296</v>
      </c>
      <c r="J75" s="3" t="s">
        <v>1458</v>
      </c>
      <c r="K75" s="13" t="s">
        <v>1459</v>
      </c>
      <c r="L75" s="15">
        <f t="shared" si="5"/>
        <v>1.9039351851851793E-2</v>
      </c>
      <c r="M75">
        <f t="shared" si="6"/>
        <v>14</v>
      </c>
    </row>
    <row r="76" spans="1:13" x14ac:dyDescent="0.3">
      <c r="A76" s="1"/>
      <c r="B76" s="1"/>
      <c r="C76" s="9" t="s">
        <v>627</v>
      </c>
      <c r="D76" s="9" t="s">
        <v>628</v>
      </c>
      <c r="E76" s="9" t="s">
        <v>628</v>
      </c>
      <c r="F76" s="9" t="s">
        <v>22</v>
      </c>
      <c r="G76" s="9" t="s">
        <v>1460</v>
      </c>
      <c r="H76" s="9" t="s">
        <v>119</v>
      </c>
      <c r="I76" s="9" t="s">
        <v>1296</v>
      </c>
      <c r="J76" s="3" t="s">
        <v>1181</v>
      </c>
      <c r="K76" s="13" t="s">
        <v>1461</v>
      </c>
      <c r="L76" s="15">
        <f t="shared" si="5"/>
        <v>2.1944444444444433E-2</v>
      </c>
      <c r="M76">
        <f t="shared" si="6"/>
        <v>7</v>
      </c>
    </row>
    <row r="77" spans="1:13" x14ac:dyDescent="0.3">
      <c r="A77" s="1"/>
      <c r="B77" s="1"/>
      <c r="C77" s="9" t="s">
        <v>204</v>
      </c>
      <c r="D77" s="9" t="s">
        <v>205</v>
      </c>
      <c r="E77" s="9" t="s">
        <v>205</v>
      </c>
      <c r="F77" s="9" t="s">
        <v>22</v>
      </c>
      <c r="G77" s="11" t="s">
        <v>19</v>
      </c>
      <c r="H77" s="2"/>
      <c r="I77" s="7"/>
      <c r="J77" s="4"/>
      <c r="K77" s="12"/>
    </row>
    <row r="78" spans="1:13" x14ac:dyDescent="0.3">
      <c r="A78" s="1"/>
      <c r="B78" s="1"/>
      <c r="C78" s="1"/>
      <c r="D78" s="1"/>
      <c r="E78" s="1"/>
      <c r="F78" s="1"/>
      <c r="G78" s="9" t="s">
        <v>1462</v>
      </c>
      <c r="H78" s="9" t="s">
        <v>119</v>
      </c>
      <c r="I78" s="9" t="s">
        <v>1296</v>
      </c>
      <c r="J78" s="3" t="s">
        <v>1463</v>
      </c>
      <c r="K78" s="13" t="s">
        <v>1464</v>
      </c>
      <c r="L78" s="15">
        <f t="shared" si="5"/>
        <v>2.3449074074074094E-2</v>
      </c>
      <c r="M78">
        <f t="shared" si="6"/>
        <v>10</v>
      </c>
    </row>
    <row r="79" spans="1:13" x14ac:dyDescent="0.3">
      <c r="A79" s="1"/>
      <c r="B79" s="1"/>
      <c r="C79" s="1"/>
      <c r="D79" s="1"/>
      <c r="E79" s="1"/>
      <c r="F79" s="1"/>
      <c r="G79" s="9" t="s">
        <v>1465</v>
      </c>
      <c r="H79" s="9" t="s">
        <v>119</v>
      </c>
      <c r="I79" s="9" t="s">
        <v>1296</v>
      </c>
      <c r="J79" s="3" t="s">
        <v>1466</v>
      </c>
      <c r="K79" s="13" t="s">
        <v>1467</v>
      </c>
      <c r="L79" s="15">
        <f t="shared" si="5"/>
        <v>2.9930555555555571E-2</v>
      </c>
      <c r="M79">
        <f t="shared" si="6"/>
        <v>14</v>
      </c>
    </row>
    <row r="80" spans="1:13" x14ac:dyDescent="0.3">
      <c r="A80" s="9" t="s">
        <v>214</v>
      </c>
      <c r="B80" s="9" t="s">
        <v>215</v>
      </c>
      <c r="C80" s="11" t="s">
        <v>19</v>
      </c>
      <c r="D80" s="2"/>
      <c r="E80" s="2"/>
      <c r="F80" s="2"/>
      <c r="G80" s="2"/>
      <c r="H80" s="2"/>
      <c r="I80" s="7"/>
      <c r="J80" s="4"/>
      <c r="K80" s="12"/>
    </row>
    <row r="81" spans="1:13" x14ac:dyDescent="0.3">
      <c r="A81" s="1"/>
      <c r="B81" s="1"/>
      <c r="C81" s="9" t="s">
        <v>216</v>
      </c>
      <c r="D81" s="9" t="s">
        <v>217</v>
      </c>
      <c r="E81" s="9" t="s">
        <v>217</v>
      </c>
      <c r="F81" s="9" t="s">
        <v>22</v>
      </c>
      <c r="G81" s="11" t="s">
        <v>19</v>
      </c>
      <c r="H81" s="2"/>
      <c r="I81" s="7"/>
      <c r="J81" s="4"/>
      <c r="K81" s="12"/>
    </row>
    <row r="82" spans="1:13" x14ac:dyDescent="0.3">
      <c r="A82" s="1"/>
      <c r="B82" s="1"/>
      <c r="C82" s="1"/>
      <c r="D82" s="1"/>
      <c r="E82" s="1"/>
      <c r="F82" s="1"/>
      <c r="G82" s="9" t="s">
        <v>1468</v>
      </c>
      <c r="H82" s="9" t="s">
        <v>119</v>
      </c>
      <c r="I82" s="9" t="s">
        <v>1296</v>
      </c>
      <c r="J82" s="3" t="s">
        <v>1469</v>
      </c>
      <c r="K82" s="13" t="s">
        <v>1470</v>
      </c>
      <c r="L82" s="15">
        <f t="shared" si="5"/>
        <v>1.1979166666666652E-2</v>
      </c>
      <c r="M82">
        <f t="shared" si="6"/>
        <v>5</v>
      </c>
    </row>
    <row r="83" spans="1:13" x14ac:dyDescent="0.3">
      <c r="A83" s="1"/>
      <c r="B83" s="1"/>
      <c r="C83" s="1"/>
      <c r="D83" s="1"/>
      <c r="E83" s="1"/>
      <c r="F83" s="1"/>
      <c r="G83" s="9" t="s">
        <v>1471</v>
      </c>
      <c r="H83" s="9" t="s">
        <v>119</v>
      </c>
      <c r="I83" s="9" t="s">
        <v>1296</v>
      </c>
      <c r="J83" s="3" t="s">
        <v>1472</v>
      </c>
      <c r="K83" s="13" t="s">
        <v>1473</v>
      </c>
      <c r="L83" s="15">
        <f t="shared" si="5"/>
        <v>2.6157407407407407E-2</v>
      </c>
      <c r="M83">
        <f t="shared" si="6"/>
        <v>6</v>
      </c>
    </row>
    <row r="84" spans="1:13" x14ac:dyDescent="0.3">
      <c r="A84" s="1"/>
      <c r="B84" s="1"/>
      <c r="C84" s="1"/>
      <c r="D84" s="1"/>
      <c r="E84" s="1"/>
      <c r="F84" s="1"/>
      <c r="G84" s="9" t="s">
        <v>1474</v>
      </c>
      <c r="H84" s="9" t="s">
        <v>119</v>
      </c>
      <c r="I84" s="9" t="s">
        <v>1296</v>
      </c>
      <c r="J84" s="3" t="s">
        <v>1475</v>
      </c>
      <c r="K84" s="13" t="s">
        <v>1476</v>
      </c>
      <c r="L84" s="15">
        <f t="shared" si="5"/>
        <v>1.71412037037037E-2</v>
      </c>
      <c r="M84">
        <f t="shared" si="6"/>
        <v>7</v>
      </c>
    </row>
    <row r="85" spans="1:13" x14ac:dyDescent="0.3">
      <c r="A85" s="1"/>
      <c r="B85" s="1"/>
      <c r="C85" s="1"/>
      <c r="D85" s="1"/>
      <c r="E85" s="1"/>
      <c r="F85" s="1"/>
      <c r="G85" s="9" t="s">
        <v>1477</v>
      </c>
      <c r="H85" s="9" t="s">
        <v>119</v>
      </c>
      <c r="I85" s="9" t="s">
        <v>1296</v>
      </c>
      <c r="J85" s="3" t="s">
        <v>1478</v>
      </c>
      <c r="K85" s="13" t="s">
        <v>1479</v>
      </c>
      <c r="L85" s="15">
        <f t="shared" si="5"/>
        <v>2.6342592592592529E-2</v>
      </c>
      <c r="M85">
        <f t="shared" si="6"/>
        <v>9</v>
      </c>
    </row>
    <row r="86" spans="1:13" x14ac:dyDescent="0.3">
      <c r="A86" s="1"/>
      <c r="B86" s="1"/>
      <c r="C86" s="1"/>
      <c r="D86" s="1"/>
      <c r="E86" s="1"/>
      <c r="F86" s="1"/>
      <c r="G86" s="9" t="s">
        <v>1480</v>
      </c>
      <c r="H86" s="9" t="s">
        <v>119</v>
      </c>
      <c r="I86" s="9" t="s">
        <v>1296</v>
      </c>
      <c r="J86" s="3" t="s">
        <v>1481</v>
      </c>
      <c r="K86" s="13" t="s">
        <v>1482</v>
      </c>
      <c r="L86" s="15">
        <f t="shared" si="5"/>
        <v>1.6678240740740757E-2</v>
      </c>
      <c r="M86">
        <f t="shared" si="6"/>
        <v>13</v>
      </c>
    </row>
    <row r="87" spans="1:13" x14ac:dyDescent="0.3">
      <c r="A87" s="1"/>
      <c r="B87" s="1"/>
      <c r="C87" s="1"/>
      <c r="D87" s="1"/>
      <c r="E87" s="1"/>
      <c r="F87" s="1"/>
      <c r="G87" s="9" t="s">
        <v>1483</v>
      </c>
      <c r="H87" s="9" t="s">
        <v>119</v>
      </c>
      <c r="I87" s="9" t="s">
        <v>1296</v>
      </c>
      <c r="J87" s="3" t="s">
        <v>1484</v>
      </c>
      <c r="K87" s="13" t="s">
        <v>1485</v>
      </c>
      <c r="L87" s="15">
        <f t="shared" si="5"/>
        <v>1.3020833333333259E-2</v>
      </c>
      <c r="M87">
        <f t="shared" si="6"/>
        <v>14</v>
      </c>
    </row>
    <row r="88" spans="1:13" x14ac:dyDescent="0.3">
      <c r="A88" s="1"/>
      <c r="B88" s="1"/>
      <c r="C88" s="1"/>
      <c r="D88" s="1"/>
      <c r="E88" s="1"/>
      <c r="F88" s="1"/>
      <c r="G88" s="9" t="s">
        <v>1486</v>
      </c>
      <c r="H88" s="9" t="s">
        <v>119</v>
      </c>
      <c r="I88" s="9" t="s">
        <v>1296</v>
      </c>
      <c r="J88" s="3" t="s">
        <v>1487</v>
      </c>
      <c r="K88" s="13" t="s">
        <v>1488</v>
      </c>
      <c r="L88" s="15">
        <f t="shared" si="5"/>
        <v>1.9942129629629601E-2</v>
      </c>
      <c r="M88">
        <f t="shared" si="6"/>
        <v>16</v>
      </c>
    </row>
    <row r="89" spans="1:13" x14ac:dyDescent="0.3">
      <c r="A89" s="1"/>
      <c r="B89" s="1"/>
      <c r="C89" s="1"/>
      <c r="D89" s="1"/>
      <c r="E89" s="1"/>
      <c r="F89" s="1"/>
      <c r="G89" s="9" t="s">
        <v>1489</v>
      </c>
      <c r="H89" s="9" t="s">
        <v>119</v>
      </c>
      <c r="I89" s="9" t="s">
        <v>1296</v>
      </c>
      <c r="J89" s="3" t="s">
        <v>1490</v>
      </c>
      <c r="K89" s="13" t="s">
        <v>1491</v>
      </c>
      <c r="L89" s="15">
        <f t="shared" si="5"/>
        <v>9.8842592592592871E-3</v>
      </c>
      <c r="M89">
        <f t="shared" si="6"/>
        <v>17</v>
      </c>
    </row>
    <row r="90" spans="1:13" x14ac:dyDescent="0.3">
      <c r="A90" s="1"/>
      <c r="B90" s="1"/>
      <c r="C90" s="9" t="s">
        <v>116</v>
      </c>
      <c r="D90" s="9" t="s">
        <v>117</v>
      </c>
      <c r="E90" s="9" t="s">
        <v>117</v>
      </c>
      <c r="F90" s="9" t="s">
        <v>22</v>
      </c>
      <c r="G90" s="11" t="s">
        <v>19</v>
      </c>
      <c r="H90" s="2"/>
      <c r="I90" s="7"/>
      <c r="J90" s="4"/>
      <c r="K90" s="12"/>
    </row>
    <row r="91" spans="1:13" x14ac:dyDescent="0.3">
      <c r="A91" s="1"/>
      <c r="B91" s="1"/>
      <c r="C91" s="1"/>
      <c r="D91" s="1"/>
      <c r="E91" s="1"/>
      <c r="F91" s="1"/>
      <c r="G91" s="9" t="s">
        <v>1492</v>
      </c>
      <c r="H91" s="9" t="s">
        <v>119</v>
      </c>
      <c r="I91" s="9" t="s">
        <v>1296</v>
      </c>
      <c r="J91" s="3" t="s">
        <v>1493</v>
      </c>
      <c r="K91" s="13" t="s">
        <v>1494</v>
      </c>
      <c r="L91" s="15">
        <f t="shared" si="5"/>
        <v>1.3425925925925897E-2</v>
      </c>
      <c r="M91">
        <f t="shared" si="6"/>
        <v>6</v>
      </c>
    </row>
    <row r="92" spans="1:13" x14ac:dyDescent="0.3">
      <c r="A92" s="1"/>
      <c r="B92" s="1"/>
      <c r="C92" s="1"/>
      <c r="D92" s="1"/>
      <c r="E92" s="1"/>
      <c r="F92" s="1"/>
      <c r="G92" s="9" t="s">
        <v>1495</v>
      </c>
      <c r="H92" s="9" t="s">
        <v>119</v>
      </c>
      <c r="I92" s="9" t="s">
        <v>1296</v>
      </c>
      <c r="J92" s="3" t="s">
        <v>1496</v>
      </c>
      <c r="K92" s="13" t="s">
        <v>1497</v>
      </c>
      <c r="L92" s="15">
        <f t="shared" si="5"/>
        <v>1.5706018518518494E-2</v>
      </c>
      <c r="M92">
        <f t="shared" si="6"/>
        <v>9</v>
      </c>
    </row>
    <row r="93" spans="1:13" x14ac:dyDescent="0.3">
      <c r="A93" s="1"/>
      <c r="B93" s="1"/>
      <c r="C93" s="1"/>
      <c r="D93" s="1"/>
      <c r="E93" s="1"/>
      <c r="F93" s="1"/>
      <c r="G93" s="9" t="s">
        <v>1498</v>
      </c>
      <c r="H93" s="9" t="s">
        <v>119</v>
      </c>
      <c r="I93" s="9" t="s">
        <v>1296</v>
      </c>
      <c r="J93" s="3" t="s">
        <v>1499</v>
      </c>
      <c r="K93" s="13" t="s">
        <v>1500</v>
      </c>
      <c r="L93" s="15">
        <f t="shared" si="5"/>
        <v>2.2627314814814892E-2</v>
      </c>
      <c r="M93">
        <f t="shared" si="6"/>
        <v>11</v>
      </c>
    </row>
    <row r="94" spans="1:13" x14ac:dyDescent="0.3">
      <c r="A94" s="1"/>
      <c r="B94" s="1"/>
      <c r="C94" s="1"/>
      <c r="D94" s="1"/>
      <c r="E94" s="1"/>
      <c r="F94" s="1"/>
      <c r="G94" s="9" t="s">
        <v>1501</v>
      </c>
      <c r="H94" s="9" t="s">
        <v>119</v>
      </c>
      <c r="I94" s="9" t="s">
        <v>1296</v>
      </c>
      <c r="J94" s="3" t="s">
        <v>1502</v>
      </c>
      <c r="K94" s="13" t="s">
        <v>1503</v>
      </c>
      <c r="L94" s="15">
        <f t="shared" si="5"/>
        <v>2.0046296296296395E-2</v>
      </c>
      <c r="M94">
        <f t="shared" si="6"/>
        <v>12</v>
      </c>
    </row>
    <row r="95" spans="1:13" x14ac:dyDescent="0.3">
      <c r="A95" s="1"/>
      <c r="B95" s="1"/>
      <c r="C95" s="1"/>
      <c r="D95" s="1"/>
      <c r="E95" s="1"/>
      <c r="F95" s="1"/>
      <c r="G95" s="9" t="s">
        <v>1504</v>
      </c>
      <c r="H95" s="9" t="s">
        <v>119</v>
      </c>
      <c r="I95" s="9" t="s">
        <v>1296</v>
      </c>
      <c r="J95" s="3" t="s">
        <v>1505</v>
      </c>
      <c r="K95" s="13" t="s">
        <v>1506</v>
      </c>
      <c r="L95" s="15">
        <f t="shared" si="5"/>
        <v>1.778935185185182E-2</v>
      </c>
      <c r="M95">
        <f t="shared" si="6"/>
        <v>15</v>
      </c>
    </row>
    <row r="96" spans="1:13" x14ac:dyDescent="0.3">
      <c r="A96" s="1"/>
      <c r="B96" s="1"/>
      <c r="C96" s="1"/>
      <c r="D96" s="1"/>
      <c r="E96" s="1"/>
      <c r="F96" s="1"/>
      <c r="G96" s="9" t="s">
        <v>1507</v>
      </c>
      <c r="H96" s="9" t="s">
        <v>119</v>
      </c>
      <c r="I96" s="9" t="s">
        <v>1296</v>
      </c>
      <c r="J96" s="3" t="s">
        <v>1508</v>
      </c>
      <c r="K96" s="13" t="s">
        <v>1509</v>
      </c>
      <c r="L96" s="15">
        <f t="shared" si="5"/>
        <v>1.4791666666666758E-2</v>
      </c>
      <c r="M96">
        <f t="shared" si="6"/>
        <v>15</v>
      </c>
    </row>
    <row r="97" spans="1:13" x14ac:dyDescent="0.3">
      <c r="A97" s="1"/>
      <c r="B97" s="1"/>
      <c r="C97" s="1"/>
      <c r="D97" s="1"/>
      <c r="E97" s="1"/>
      <c r="F97" s="1"/>
      <c r="G97" s="9" t="s">
        <v>1510</v>
      </c>
      <c r="H97" s="9" t="s">
        <v>119</v>
      </c>
      <c r="I97" s="9" t="s">
        <v>1296</v>
      </c>
      <c r="J97" s="3" t="s">
        <v>1511</v>
      </c>
      <c r="K97" s="13" t="s">
        <v>1512</v>
      </c>
      <c r="L97" s="15">
        <f t="shared" si="5"/>
        <v>1.679398148148159E-2</v>
      </c>
      <c r="M97">
        <f t="shared" si="6"/>
        <v>18</v>
      </c>
    </row>
    <row r="98" spans="1:13" x14ac:dyDescent="0.3">
      <c r="A98" s="1"/>
      <c r="B98" s="1"/>
      <c r="C98" s="1"/>
      <c r="D98" s="1"/>
      <c r="E98" s="1"/>
      <c r="F98" s="1"/>
      <c r="G98" s="9" t="s">
        <v>1513</v>
      </c>
      <c r="H98" s="9" t="s">
        <v>119</v>
      </c>
      <c r="I98" s="9" t="s">
        <v>1296</v>
      </c>
      <c r="J98" s="3" t="s">
        <v>1514</v>
      </c>
      <c r="K98" s="13" t="s">
        <v>1515</v>
      </c>
      <c r="L98" s="15">
        <f t="shared" si="5"/>
        <v>1.3425925925925952E-2</v>
      </c>
      <c r="M98">
        <f t="shared" si="6"/>
        <v>20</v>
      </c>
    </row>
    <row r="99" spans="1:13" x14ac:dyDescent="0.3">
      <c r="A99" s="1"/>
      <c r="B99" s="1"/>
      <c r="C99" s="9" t="s">
        <v>136</v>
      </c>
      <c r="D99" s="9" t="s">
        <v>137</v>
      </c>
      <c r="E99" s="9" t="s">
        <v>137</v>
      </c>
      <c r="F99" s="9" t="s">
        <v>22</v>
      </c>
      <c r="G99" s="11" t="s">
        <v>19</v>
      </c>
      <c r="H99" s="2"/>
      <c r="I99" s="7"/>
      <c r="J99" s="4"/>
      <c r="K99" s="12"/>
    </row>
    <row r="100" spans="1:13" x14ac:dyDescent="0.3">
      <c r="A100" s="1"/>
      <c r="B100" s="1"/>
      <c r="C100" s="1"/>
      <c r="D100" s="1"/>
      <c r="E100" s="1"/>
      <c r="F100" s="1"/>
      <c r="G100" s="9" t="s">
        <v>1516</v>
      </c>
      <c r="H100" s="9" t="s">
        <v>119</v>
      </c>
      <c r="I100" s="9" t="s">
        <v>1296</v>
      </c>
      <c r="J100" s="3" t="s">
        <v>680</v>
      </c>
      <c r="K100" s="13" t="s">
        <v>1517</v>
      </c>
      <c r="L100" s="15">
        <f t="shared" si="5"/>
        <v>1.2835648148148165E-2</v>
      </c>
      <c r="M100">
        <f t="shared" si="6"/>
        <v>4</v>
      </c>
    </row>
    <row r="101" spans="1:13" x14ac:dyDescent="0.3">
      <c r="A101" s="1"/>
      <c r="B101" s="1"/>
      <c r="C101" s="1"/>
      <c r="D101" s="1"/>
      <c r="E101" s="1"/>
      <c r="F101" s="1"/>
      <c r="G101" s="9" t="s">
        <v>1518</v>
      </c>
      <c r="H101" s="9" t="s">
        <v>119</v>
      </c>
      <c r="I101" s="9" t="s">
        <v>1296</v>
      </c>
      <c r="J101" s="3" t="s">
        <v>1519</v>
      </c>
      <c r="K101" s="13" t="s">
        <v>1254</v>
      </c>
      <c r="L101" s="15">
        <f t="shared" si="5"/>
        <v>1.2384259259259262E-2</v>
      </c>
      <c r="M101">
        <f t="shared" si="6"/>
        <v>5</v>
      </c>
    </row>
    <row r="102" spans="1:13" x14ac:dyDescent="0.3">
      <c r="A102" s="1"/>
      <c r="B102" s="1"/>
      <c r="C102" s="1"/>
      <c r="D102" s="1"/>
      <c r="E102" s="1"/>
      <c r="F102" s="1"/>
      <c r="G102" s="9" t="s">
        <v>1520</v>
      </c>
      <c r="H102" s="9" t="s">
        <v>119</v>
      </c>
      <c r="I102" s="9" t="s">
        <v>1296</v>
      </c>
      <c r="J102" s="3" t="s">
        <v>1521</v>
      </c>
      <c r="K102" s="13" t="s">
        <v>1522</v>
      </c>
      <c r="L102" s="15">
        <f t="shared" si="5"/>
        <v>2.5000000000000022E-2</v>
      </c>
      <c r="M102">
        <f t="shared" si="6"/>
        <v>7</v>
      </c>
    </row>
    <row r="103" spans="1:13" x14ac:dyDescent="0.3">
      <c r="A103" s="1"/>
      <c r="B103" s="1"/>
      <c r="C103" s="1"/>
      <c r="D103" s="1"/>
      <c r="E103" s="1"/>
      <c r="F103" s="1"/>
      <c r="G103" s="9" t="s">
        <v>1523</v>
      </c>
      <c r="H103" s="9" t="s">
        <v>119</v>
      </c>
      <c r="I103" s="9" t="s">
        <v>1296</v>
      </c>
      <c r="J103" s="3" t="s">
        <v>1524</v>
      </c>
      <c r="K103" s="13" t="s">
        <v>1525</v>
      </c>
      <c r="L103" s="15">
        <f t="shared" si="5"/>
        <v>1.2002314814814841E-2</v>
      </c>
      <c r="M103">
        <f t="shared" si="6"/>
        <v>8</v>
      </c>
    </row>
    <row r="104" spans="1:13" x14ac:dyDescent="0.3">
      <c r="A104" s="1"/>
      <c r="B104" s="1"/>
      <c r="C104" s="1"/>
      <c r="D104" s="1"/>
      <c r="E104" s="1"/>
      <c r="F104" s="1"/>
      <c r="G104" s="9" t="s">
        <v>1526</v>
      </c>
      <c r="H104" s="9" t="s">
        <v>119</v>
      </c>
      <c r="I104" s="9" t="s">
        <v>1296</v>
      </c>
      <c r="J104" s="3" t="s">
        <v>1527</v>
      </c>
      <c r="K104" s="13" t="s">
        <v>1528</v>
      </c>
      <c r="L104" s="15">
        <f t="shared" si="5"/>
        <v>3.5312500000000024E-2</v>
      </c>
      <c r="M104">
        <f t="shared" si="6"/>
        <v>9</v>
      </c>
    </row>
    <row r="105" spans="1:13" x14ac:dyDescent="0.3">
      <c r="A105" s="1"/>
      <c r="B105" s="1"/>
      <c r="C105" s="1"/>
      <c r="D105" s="1"/>
      <c r="E105" s="1"/>
      <c r="F105" s="1"/>
      <c r="G105" s="9" t="s">
        <v>1529</v>
      </c>
      <c r="H105" s="9" t="s">
        <v>119</v>
      </c>
      <c r="I105" s="9" t="s">
        <v>1296</v>
      </c>
      <c r="J105" s="3" t="s">
        <v>1530</v>
      </c>
      <c r="K105" s="13" t="s">
        <v>1531</v>
      </c>
      <c r="L105" s="15">
        <f t="shared" si="5"/>
        <v>2.0601851851851816E-2</v>
      </c>
      <c r="M105">
        <f t="shared" si="6"/>
        <v>11</v>
      </c>
    </row>
    <row r="106" spans="1:13" x14ac:dyDescent="0.3">
      <c r="A106" s="1"/>
      <c r="B106" s="1"/>
      <c r="C106" s="1"/>
      <c r="D106" s="1"/>
      <c r="E106" s="1"/>
      <c r="F106" s="1"/>
      <c r="G106" s="9" t="s">
        <v>1532</v>
      </c>
      <c r="H106" s="9" t="s">
        <v>119</v>
      </c>
      <c r="I106" s="9" t="s">
        <v>1296</v>
      </c>
      <c r="J106" s="3" t="s">
        <v>1533</v>
      </c>
      <c r="K106" s="13" t="s">
        <v>1534</v>
      </c>
      <c r="L106" s="15">
        <f t="shared" si="5"/>
        <v>2.7071759259259254E-2</v>
      </c>
      <c r="M106">
        <f t="shared" si="6"/>
        <v>11</v>
      </c>
    </row>
    <row r="107" spans="1:13" x14ac:dyDescent="0.3">
      <c r="A107" s="1"/>
      <c r="B107" s="1"/>
      <c r="C107" s="9" t="s">
        <v>147</v>
      </c>
      <c r="D107" s="9" t="s">
        <v>148</v>
      </c>
      <c r="E107" s="11" t="s">
        <v>19</v>
      </c>
      <c r="F107" s="2"/>
      <c r="G107" s="2"/>
      <c r="H107" s="2"/>
      <c r="I107" s="7"/>
      <c r="J107" s="4"/>
      <c r="K107" s="12"/>
    </row>
    <row r="108" spans="1:13" x14ac:dyDescent="0.3">
      <c r="A108" s="1"/>
      <c r="B108" s="1"/>
      <c r="C108" s="1"/>
      <c r="D108" s="1"/>
      <c r="E108" s="9" t="s">
        <v>272</v>
      </c>
      <c r="F108" s="9" t="s">
        <v>22</v>
      </c>
      <c r="G108" s="11" t="s">
        <v>19</v>
      </c>
      <c r="H108" s="2"/>
      <c r="I108" s="7"/>
      <c r="J108" s="4"/>
      <c r="K108" s="12"/>
    </row>
    <row r="109" spans="1:13" x14ac:dyDescent="0.3">
      <c r="A109" s="1"/>
      <c r="B109" s="1"/>
      <c r="C109" s="1"/>
      <c r="D109" s="1"/>
      <c r="E109" s="1"/>
      <c r="F109" s="1"/>
      <c r="G109" s="9" t="s">
        <v>1535</v>
      </c>
      <c r="H109" s="9" t="s">
        <v>119</v>
      </c>
      <c r="I109" s="9" t="s">
        <v>1296</v>
      </c>
      <c r="J109" s="3" t="s">
        <v>1536</v>
      </c>
      <c r="K109" s="13" t="s">
        <v>1537</v>
      </c>
      <c r="L109" s="15">
        <f t="shared" si="5"/>
        <v>3.2604166666666712E-2</v>
      </c>
      <c r="M109">
        <f t="shared" si="6"/>
        <v>9</v>
      </c>
    </row>
    <row r="110" spans="1:13" x14ac:dyDescent="0.3">
      <c r="A110" s="1"/>
      <c r="B110" s="1"/>
      <c r="C110" s="1"/>
      <c r="D110" s="1"/>
      <c r="E110" s="1"/>
      <c r="F110" s="1"/>
      <c r="G110" s="9" t="s">
        <v>1538</v>
      </c>
      <c r="H110" s="9" t="s">
        <v>119</v>
      </c>
      <c r="I110" s="9" t="s">
        <v>1296</v>
      </c>
      <c r="J110" s="3" t="s">
        <v>1539</v>
      </c>
      <c r="K110" s="13" t="s">
        <v>1540</v>
      </c>
      <c r="L110" s="15">
        <f t="shared" si="5"/>
        <v>1.8599537037037095E-2</v>
      </c>
      <c r="M110">
        <f t="shared" si="6"/>
        <v>13</v>
      </c>
    </row>
    <row r="111" spans="1:13" x14ac:dyDescent="0.3">
      <c r="A111" s="1"/>
      <c r="B111" s="1"/>
      <c r="C111" s="1"/>
      <c r="D111" s="1"/>
      <c r="E111" s="9" t="s">
        <v>300</v>
      </c>
      <c r="F111" s="9" t="s">
        <v>22</v>
      </c>
      <c r="G111" s="11" t="s">
        <v>19</v>
      </c>
      <c r="H111" s="2"/>
      <c r="I111" s="7"/>
      <c r="J111" s="4"/>
      <c r="K111" s="12"/>
    </row>
    <row r="112" spans="1:13" x14ac:dyDescent="0.3">
      <c r="A112" s="1"/>
      <c r="B112" s="1"/>
      <c r="C112" s="1"/>
      <c r="D112" s="1"/>
      <c r="E112" s="1"/>
      <c r="F112" s="1"/>
      <c r="G112" s="9" t="s">
        <v>1541</v>
      </c>
      <c r="H112" s="9" t="s">
        <v>119</v>
      </c>
      <c r="I112" s="9" t="s">
        <v>1296</v>
      </c>
      <c r="J112" s="3" t="s">
        <v>1542</v>
      </c>
      <c r="K112" s="13" t="s">
        <v>1543</v>
      </c>
      <c r="L112" s="15">
        <f t="shared" si="5"/>
        <v>1.7152777777777795E-2</v>
      </c>
      <c r="M112">
        <f t="shared" si="6"/>
        <v>6</v>
      </c>
    </row>
    <row r="113" spans="1:13" x14ac:dyDescent="0.3">
      <c r="A113" s="1"/>
      <c r="B113" s="1"/>
      <c r="C113" s="1"/>
      <c r="D113" s="1"/>
      <c r="E113" s="1"/>
      <c r="F113" s="1"/>
      <c r="G113" s="9" t="s">
        <v>1544</v>
      </c>
      <c r="H113" s="9" t="s">
        <v>119</v>
      </c>
      <c r="I113" s="9" t="s">
        <v>1296</v>
      </c>
      <c r="J113" s="3" t="s">
        <v>1545</v>
      </c>
      <c r="K113" s="13" t="s">
        <v>1546</v>
      </c>
      <c r="L113" s="15">
        <f t="shared" si="5"/>
        <v>1.9675925925925875E-2</v>
      </c>
      <c r="M113">
        <f t="shared" si="6"/>
        <v>8</v>
      </c>
    </row>
    <row r="114" spans="1:13" x14ac:dyDescent="0.3">
      <c r="A114" s="1"/>
      <c r="B114" s="1"/>
      <c r="C114" s="1"/>
      <c r="D114" s="1"/>
      <c r="E114" s="1"/>
      <c r="F114" s="1"/>
      <c r="G114" s="9" t="s">
        <v>1547</v>
      </c>
      <c r="H114" s="9" t="s">
        <v>119</v>
      </c>
      <c r="I114" s="9" t="s">
        <v>1296</v>
      </c>
      <c r="J114" s="3" t="s">
        <v>1548</v>
      </c>
      <c r="K114" s="13" t="s">
        <v>1549</v>
      </c>
      <c r="L114" s="15">
        <f t="shared" si="5"/>
        <v>2.2326388888888826E-2</v>
      </c>
      <c r="M114">
        <f t="shared" si="6"/>
        <v>8</v>
      </c>
    </row>
    <row r="115" spans="1:13" x14ac:dyDescent="0.3">
      <c r="A115" s="1"/>
      <c r="B115" s="1"/>
      <c r="C115" s="1"/>
      <c r="D115" s="1"/>
      <c r="E115" s="1"/>
      <c r="F115" s="1"/>
      <c r="G115" s="9" t="s">
        <v>1550</v>
      </c>
      <c r="H115" s="9" t="s">
        <v>119</v>
      </c>
      <c r="I115" s="9" t="s">
        <v>1296</v>
      </c>
      <c r="J115" s="3" t="s">
        <v>1551</v>
      </c>
      <c r="K115" s="13" t="s">
        <v>1552</v>
      </c>
      <c r="L115" s="15">
        <f t="shared" si="5"/>
        <v>3.6851851851851858E-2</v>
      </c>
      <c r="M115">
        <f t="shared" si="6"/>
        <v>9</v>
      </c>
    </row>
    <row r="116" spans="1:13" x14ac:dyDescent="0.3">
      <c r="A116" s="1"/>
      <c r="B116" s="1"/>
      <c r="C116" s="1"/>
      <c r="D116" s="1"/>
      <c r="E116" s="1"/>
      <c r="F116" s="1"/>
      <c r="G116" s="9" t="s">
        <v>1553</v>
      </c>
      <c r="H116" s="9" t="s">
        <v>119</v>
      </c>
      <c r="I116" s="9" t="s">
        <v>1296</v>
      </c>
      <c r="J116" s="3" t="s">
        <v>1554</v>
      </c>
      <c r="K116" s="13" t="s">
        <v>1555</v>
      </c>
      <c r="L116" s="15">
        <f t="shared" si="5"/>
        <v>3.7476851851851789E-2</v>
      </c>
      <c r="M116">
        <f t="shared" si="6"/>
        <v>10</v>
      </c>
    </row>
    <row r="117" spans="1:13" x14ac:dyDescent="0.3">
      <c r="A117" s="1"/>
      <c r="B117" s="1"/>
      <c r="C117" s="1"/>
      <c r="D117" s="1"/>
      <c r="E117" s="1"/>
      <c r="F117" s="1"/>
      <c r="G117" s="9" t="s">
        <v>1556</v>
      </c>
      <c r="H117" s="9" t="s">
        <v>119</v>
      </c>
      <c r="I117" s="9" t="s">
        <v>1296</v>
      </c>
      <c r="J117" s="3" t="s">
        <v>1557</v>
      </c>
      <c r="K117" s="13" t="s">
        <v>1558</v>
      </c>
      <c r="L117" s="15">
        <f t="shared" si="5"/>
        <v>1.9351851851851953E-2</v>
      </c>
      <c r="M117">
        <f t="shared" si="6"/>
        <v>11</v>
      </c>
    </row>
    <row r="118" spans="1:13" x14ac:dyDescent="0.3">
      <c r="A118" s="1"/>
      <c r="B118" s="1"/>
      <c r="C118" s="1"/>
      <c r="D118" s="1"/>
      <c r="E118" s="1"/>
      <c r="F118" s="1"/>
      <c r="G118" s="9" t="s">
        <v>1559</v>
      </c>
      <c r="H118" s="9" t="s">
        <v>119</v>
      </c>
      <c r="I118" s="9" t="s">
        <v>1296</v>
      </c>
      <c r="J118" s="3" t="s">
        <v>1560</v>
      </c>
      <c r="K118" s="13" t="s">
        <v>1561</v>
      </c>
      <c r="L118" s="15">
        <f t="shared" si="5"/>
        <v>2.5312500000000071E-2</v>
      </c>
      <c r="M118">
        <f t="shared" si="6"/>
        <v>11</v>
      </c>
    </row>
    <row r="119" spans="1:13" x14ac:dyDescent="0.3">
      <c r="A119" s="1"/>
      <c r="B119" s="1"/>
      <c r="C119" s="1"/>
      <c r="D119" s="1"/>
      <c r="E119" s="1"/>
      <c r="F119" s="1"/>
      <c r="G119" s="9" t="s">
        <v>1562</v>
      </c>
      <c r="H119" s="9" t="s">
        <v>119</v>
      </c>
      <c r="I119" s="9" t="s">
        <v>1296</v>
      </c>
      <c r="J119" s="3" t="s">
        <v>1563</v>
      </c>
      <c r="K119" s="13" t="s">
        <v>1564</v>
      </c>
      <c r="L119" s="15">
        <f t="shared" si="5"/>
        <v>2.6608796296296366E-2</v>
      </c>
      <c r="M119">
        <f t="shared" si="6"/>
        <v>11</v>
      </c>
    </row>
    <row r="120" spans="1:13" x14ac:dyDescent="0.3">
      <c r="A120" s="1"/>
      <c r="B120" s="1"/>
      <c r="C120" s="1"/>
      <c r="D120" s="1"/>
      <c r="E120" s="1"/>
      <c r="F120" s="1"/>
      <c r="G120" s="9" t="s">
        <v>1565</v>
      </c>
      <c r="H120" s="9" t="s">
        <v>119</v>
      </c>
      <c r="I120" s="9" t="s">
        <v>1296</v>
      </c>
      <c r="J120" s="3" t="s">
        <v>1566</v>
      </c>
      <c r="K120" s="13" t="s">
        <v>1567</v>
      </c>
      <c r="L120" s="15">
        <f t="shared" si="5"/>
        <v>1.504629629629628E-2</v>
      </c>
      <c r="M120">
        <f t="shared" si="6"/>
        <v>13</v>
      </c>
    </row>
    <row r="121" spans="1:13" x14ac:dyDescent="0.3">
      <c r="A121" s="1"/>
      <c r="B121" s="1"/>
      <c r="C121" s="1"/>
      <c r="D121" s="1"/>
      <c r="E121" s="1"/>
      <c r="F121" s="1"/>
      <c r="G121" s="9" t="s">
        <v>1568</v>
      </c>
      <c r="H121" s="9" t="s">
        <v>119</v>
      </c>
      <c r="I121" s="9" t="s">
        <v>1296</v>
      </c>
      <c r="J121" s="3" t="s">
        <v>1569</v>
      </c>
      <c r="K121" s="13" t="s">
        <v>1570</v>
      </c>
      <c r="L121" s="15">
        <f t="shared" si="5"/>
        <v>2.4386574074074074E-2</v>
      </c>
      <c r="M121">
        <f t="shared" si="6"/>
        <v>14</v>
      </c>
    </row>
    <row r="122" spans="1:13" x14ac:dyDescent="0.3">
      <c r="A122" s="1"/>
      <c r="B122" s="1"/>
      <c r="C122" s="9" t="s">
        <v>153</v>
      </c>
      <c r="D122" s="9" t="s">
        <v>154</v>
      </c>
      <c r="E122" s="9" t="s">
        <v>154</v>
      </c>
      <c r="F122" s="9" t="s">
        <v>22</v>
      </c>
      <c r="G122" s="9" t="s">
        <v>1571</v>
      </c>
      <c r="H122" s="9" t="s">
        <v>119</v>
      </c>
      <c r="I122" s="9" t="s">
        <v>1296</v>
      </c>
      <c r="J122" s="3" t="s">
        <v>1572</v>
      </c>
      <c r="K122" s="13" t="s">
        <v>180</v>
      </c>
      <c r="L122" s="15">
        <f t="shared" si="5"/>
        <v>2.5497685185185165E-2</v>
      </c>
      <c r="M122">
        <f t="shared" si="6"/>
        <v>5</v>
      </c>
    </row>
    <row r="123" spans="1:13" x14ac:dyDescent="0.3">
      <c r="A123" s="1"/>
      <c r="B123" s="1"/>
      <c r="C123" s="9" t="s">
        <v>322</v>
      </c>
      <c r="D123" s="9" t="s">
        <v>323</v>
      </c>
      <c r="E123" s="9" t="s">
        <v>323</v>
      </c>
      <c r="F123" s="9" t="s">
        <v>22</v>
      </c>
      <c r="G123" s="11" t="s">
        <v>19</v>
      </c>
      <c r="H123" s="2"/>
      <c r="I123" s="7"/>
      <c r="J123" s="4"/>
      <c r="K123" s="12"/>
    </row>
    <row r="124" spans="1:13" x14ac:dyDescent="0.3">
      <c r="A124" s="1"/>
      <c r="B124" s="1"/>
      <c r="C124" s="1"/>
      <c r="D124" s="1"/>
      <c r="E124" s="1"/>
      <c r="F124" s="1"/>
      <c r="G124" s="9" t="s">
        <v>1573</v>
      </c>
      <c r="H124" s="9" t="s">
        <v>119</v>
      </c>
      <c r="I124" s="9" t="s">
        <v>1296</v>
      </c>
      <c r="J124" s="3" t="s">
        <v>1574</v>
      </c>
      <c r="K124" s="13" t="s">
        <v>1575</v>
      </c>
      <c r="L124" s="15">
        <f t="shared" si="5"/>
        <v>3.3518518518518448E-2</v>
      </c>
      <c r="M124">
        <f t="shared" si="6"/>
        <v>11</v>
      </c>
    </row>
    <row r="125" spans="1:13" x14ac:dyDescent="0.3">
      <c r="A125" s="1"/>
      <c r="B125" s="1"/>
      <c r="C125" s="1"/>
      <c r="D125" s="1"/>
      <c r="E125" s="1"/>
      <c r="F125" s="1"/>
      <c r="G125" s="9" t="s">
        <v>1576</v>
      </c>
      <c r="H125" s="9" t="s">
        <v>119</v>
      </c>
      <c r="I125" s="9" t="s">
        <v>1296</v>
      </c>
      <c r="J125" s="3" t="s">
        <v>1577</v>
      </c>
      <c r="K125" s="13" t="s">
        <v>1578</v>
      </c>
      <c r="L125" s="15">
        <f t="shared" si="5"/>
        <v>1.7175925925925983E-2</v>
      </c>
      <c r="M125">
        <f t="shared" si="6"/>
        <v>12</v>
      </c>
    </row>
    <row r="126" spans="1:13" x14ac:dyDescent="0.3">
      <c r="A126" s="1"/>
      <c r="B126" s="1"/>
      <c r="C126" s="1"/>
      <c r="D126" s="1"/>
      <c r="E126" s="1"/>
      <c r="F126" s="1"/>
      <c r="G126" s="9" t="s">
        <v>1579</v>
      </c>
      <c r="H126" s="9" t="s">
        <v>119</v>
      </c>
      <c r="I126" s="9" t="s">
        <v>1296</v>
      </c>
      <c r="J126" s="3" t="s">
        <v>1580</v>
      </c>
      <c r="K126" s="13" t="s">
        <v>1581</v>
      </c>
      <c r="L126" s="15">
        <f t="shared" si="5"/>
        <v>1.5543981481481506E-2</v>
      </c>
      <c r="M126">
        <f t="shared" si="6"/>
        <v>16</v>
      </c>
    </row>
    <row r="127" spans="1:13" x14ac:dyDescent="0.3">
      <c r="A127" s="1"/>
      <c r="B127" s="1"/>
      <c r="C127" s="1"/>
      <c r="D127" s="1"/>
      <c r="E127" s="1"/>
      <c r="F127" s="1"/>
      <c r="G127" s="9" t="s">
        <v>1582</v>
      </c>
      <c r="H127" s="9" t="s">
        <v>119</v>
      </c>
      <c r="I127" s="9" t="s">
        <v>1296</v>
      </c>
      <c r="J127" s="3" t="s">
        <v>1583</v>
      </c>
      <c r="K127" s="13" t="s">
        <v>1584</v>
      </c>
      <c r="L127" s="15">
        <f t="shared" si="5"/>
        <v>1.5601851851851922E-2</v>
      </c>
      <c r="M127">
        <f t="shared" si="6"/>
        <v>17</v>
      </c>
    </row>
    <row r="128" spans="1:13" x14ac:dyDescent="0.3">
      <c r="A128" s="1"/>
      <c r="B128" s="1"/>
      <c r="C128" s="9" t="s">
        <v>93</v>
      </c>
      <c r="D128" s="9" t="s">
        <v>94</v>
      </c>
      <c r="E128" s="11" t="s">
        <v>19</v>
      </c>
      <c r="F128" s="2"/>
      <c r="G128" s="2"/>
      <c r="H128" s="2"/>
      <c r="I128" s="7"/>
      <c r="J128" s="4"/>
      <c r="K128" s="12"/>
    </row>
    <row r="129" spans="1:13" x14ac:dyDescent="0.3">
      <c r="A129" s="1"/>
      <c r="B129" s="1"/>
      <c r="C129" s="1"/>
      <c r="D129" s="1"/>
      <c r="E129" s="9" t="s">
        <v>94</v>
      </c>
      <c r="F129" s="9" t="s">
        <v>22</v>
      </c>
      <c r="G129" s="11" t="s">
        <v>19</v>
      </c>
      <c r="H129" s="2"/>
      <c r="I129" s="7"/>
      <c r="J129" s="4"/>
      <c r="K129" s="12"/>
    </row>
    <row r="130" spans="1:13" x14ac:dyDescent="0.3">
      <c r="A130" s="1"/>
      <c r="B130" s="1"/>
      <c r="C130" s="1"/>
      <c r="D130" s="1"/>
      <c r="E130" s="1"/>
      <c r="F130" s="1"/>
      <c r="G130" s="9" t="s">
        <v>1585</v>
      </c>
      <c r="H130" s="9" t="s">
        <v>119</v>
      </c>
      <c r="I130" s="9" t="s">
        <v>1296</v>
      </c>
      <c r="J130" s="3" t="s">
        <v>1586</v>
      </c>
      <c r="K130" s="13" t="s">
        <v>1587</v>
      </c>
      <c r="L130" s="15">
        <f t="shared" si="5"/>
        <v>2.0312499999999983E-2</v>
      </c>
      <c r="M130">
        <f t="shared" si="6"/>
        <v>5</v>
      </c>
    </row>
    <row r="131" spans="1:13" x14ac:dyDescent="0.3">
      <c r="A131" s="1"/>
      <c r="B131" s="1"/>
      <c r="C131" s="1"/>
      <c r="D131" s="1"/>
      <c r="E131" s="1"/>
      <c r="F131" s="1"/>
      <c r="G131" s="9" t="s">
        <v>1588</v>
      </c>
      <c r="H131" s="9" t="s">
        <v>119</v>
      </c>
      <c r="I131" s="9" t="s">
        <v>1296</v>
      </c>
      <c r="J131" s="3" t="s">
        <v>1589</v>
      </c>
      <c r="K131" s="13" t="s">
        <v>1590</v>
      </c>
      <c r="L131" s="15">
        <f t="shared" ref="L131:L175" si="7">K131-J131</f>
        <v>4.0590277777777739E-2</v>
      </c>
      <c r="M131">
        <f t="shared" ref="M131:M175" si="8">HOUR(J131)</f>
        <v>11</v>
      </c>
    </row>
    <row r="132" spans="1:13" x14ac:dyDescent="0.3">
      <c r="A132" s="1"/>
      <c r="B132" s="1"/>
      <c r="C132" s="1"/>
      <c r="D132" s="1"/>
      <c r="E132" s="9" t="s">
        <v>164</v>
      </c>
      <c r="F132" s="9" t="s">
        <v>22</v>
      </c>
      <c r="G132" s="11" t="s">
        <v>19</v>
      </c>
      <c r="H132" s="2"/>
      <c r="I132" s="7"/>
      <c r="J132" s="4"/>
      <c r="K132" s="12"/>
    </row>
    <row r="133" spans="1:13" x14ac:dyDescent="0.3">
      <c r="A133" s="1"/>
      <c r="B133" s="1"/>
      <c r="C133" s="1"/>
      <c r="D133" s="1"/>
      <c r="E133" s="1"/>
      <c r="F133" s="1"/>
      <c r="G133" s="9" t="s">
        <v>1591</v>
      </c>
      <c r="H133" s="9" t="s">
        <v>119</v>
      </c>
      <c r="I133" s="9" t="s">
        <v>1296</v>
      </c>
      <c r="J133" s="3" t="s">
        <v>1592</v>
      </c>
      <c r="K133" s="13" t="s">
        <v>1593</v>
      </c>
      <c r="L133" s="15">
        <f t="shared" si="7"/>
        <v>2.2557870370370325E-2</v>
      </c>
      <c r="M133">
        <f t="shared" si="8"/>
        <v>6</v>
      </c>
    </row>
    <row r="134" spans="1:13" x14ac:dyDescent="0.3">
      <c r="A134" s="1"/>
      <c r="B134" s="1"/>
      <c r="C134" s="1"/>
      <c r="D134" s="1"/>
      <c r="E134" s="1"/>
      <c r="F134" s="1"/>
      <c r="G134" s="9" t="s">
        <v>1594</v>
      </c>
      <c r="H134" s="9" t="s">
        <v>119</v>
      </c>
      <c r="I134" s="9" t="s">
        <v>1296</v>
      </c>
      <c r="J134" s="3" t="s">
        <v>1595</v>
      </c>
      <c r="K134" s="13" t="s">
        <v>1596</v>
      </c>
      <c r="L134" s="15">
        <f t="shared" si="7"/>
        <v>1.4108796296296244E-2</v>
      </c>
      <c r="M134">
        <f t="shared" si="8"/>
        <v>8</v>
      </c>
    </row>
    <row r="135" spans="1:13" x14ac:dyDescent="0.3">
      <c r="A135" s="1"/>
      <c r="B135" s="1"/>
      <c r="C135" s="1"/>
      <c r="D135" s="1"/>
      <c r="E135" s="1"/>
      <c r="F135" s="1"/>
      <c r="G135" s="9" t="s">
        <v>1597</v>
      </c>
      <c r="H135" s="9" t="s">
        <v>119</v>
      </c>
      <c r="I135" s="9" t="s">
        <v>1296</v>
      </c>
      <c r="J135" s="3" t="s">
        <v>1598</v>
      </c>
      <c r="K135" s="13" t="s">
        <v>1599</v>
      </c>
      <c r="L135" s="15">
        <f t="shared" si="7"/>
        <v>2.6365740740740717E-2</v>
      </c>
      <c r="M135">
        <f t="shared" si="8"/>
        <v>20</v>
      </c>
    </row>
    <row r="136" spans="1:13" x14ac:dyDescent="0.3">
      <c r="A136" s="1"/>
      <c r="B136" s="1"/>
      <c r="C136" s="9" t="s">
        <v>354</v>
      </c>
      <c r="D136" s="9" t="s">
        <v>355</v>
      </c>
      <c r="E136" s="9" t="s">
        <v>355</v>
      </c>
      <c r="F136" s="9" t="s">
        <v>22</v>
      </c>
      <c r="G136" s="11" t="s">
        <v>19</v>
      </c>
      <c r="H136" s="2"/>
      <c r="I136" s="7"/>
      <c r="J136" s="4"/>
      <c r="K136" s="12"/>
    </row>
    <row r="137" spans="1:13" x14ac:dyDescent="0.3">
      <c r="A137" s="1"/>
      <c r="B137" s="1"/>
      <c r="C137" s="1"/>
      <c r="D137" s="1"/>
      <c r="E137" s="1"/>
      <c r="F137" s="1"/>
      <c r="G137" s="9" t="s">
        <v>1600</v>
      </c>
      <c r="H137" s="9" t="s">
        <v>119</v>
      </c>
      <c r="I137" s="9" t="s">
        <v>1296</v>
      </c>
      <c r="J137" s="3" t="s">
        <v>1601</v>
      </c>
      <c r="K137" s="13" t="s">
        <v>1602</v>
      </c>
      <c r="L137" s="15">
        <f t="shared" si="7"/>
        <v>1.4004629629629645E-2</v>
      </c>
      <c r="M137">
        <f t="shared" si="8"/>
        <v>1</v>
      </c>
    </row>
    <row r="138" spans="1:13" x14ac:dyDescent="0.3">
      <c r="A138" s="1"/>
      <c r="B138" s="1"/>
      <c r="C138" s="1"/>
      <c r="D138" s="1"/>
      <c r="E138" s="1"/>
      <c r="F138" s="1"/>
      <c r="G138" s="9" t="s">
        <v>1603</v>
      </c>
      <c r="H138" s="9" t="s">
        <v>119</v>
      </c>
      <c r="I138" s="9" t="s">
        <v>1296</v>
      </c>
      <c r="J138" s="3" t="s">
        <v>1604</v>
      </c>
      <c r="K138" s="13" t="s">
        <v>1605</v>
      </c>
      <c r="L138" s="15">
        <f t="shared" si="7"/>
        <v>2.7905092592592551E-2</v>
      </c>
      <c r="M138">
        <f t="shared" si="8"/>
        <v>10</v>
      </c>
    </row>
    <row r="139" spans="1:13" x14ac:dyDescent="0.3">
      <c r="A139" s="1"/>
      <c r="B139" s="1"/>
      <c r="C139" s="1"/>
      <c r="D139" s="1"/>
      <c r="E139" s="1"/>
      <c r="F139" s="1"/>
      <c r="G139" s="9" t="s">
        <v>1606</v>
      </c>
      <c r="H139" s="9" t="s">
        <v>119</v>
      </c>
      <c r="I139" s="9" t="s">
        <v>1296</v>
      </c>
      <c r="J139" s="3" t="s">
        <v>1607</v>
      </c>
      <c r="K139" s="13" t="s">
        <v>1608</v>
      </c>
      <c r="L139" s="15">
        <f t="shared" si="7"/>
        <v>1.3495370370370408E-2</v>
      </c>
      <c r="M139">
        <f t="shared" si="8"/>
        <v>18</v>
      </c>
    </row>
    <row r="140" spans="1:13" x14ac:dyDescent="0.3">
      <c r="A140" s="1"/>
      <c r="B140" s="1"/>
      <c r="C140" s="1"/>
      <c r="D140" s="1"/>
      <c r="E140" s="1"/>
      <c r="F140" s="1"/>
      <c r="G140" s="9" t="s">
        <v>1609</v>
      </c>
      <c r="H140" s="9" t="s">
        <v>119</v>
      </c>
      <c r="I140" s="9" t="s">
        <v>1296</v>
      </c>
      <c r="J140" s="3" t="s">
        <v>1610</v>
      </c>
      <c r="K140" s="13" t="s">
        <v>1611</v>
      </c>
      <c r="L140" s="15">
        <f t="shared" si="7"/>
        <v>1.7245370370370439E-2</v>
      </c>
      <c r="M140">
        <f t="shared" si="8"/>
        <v>23</v>
      </c>
    </row>
    <row r="141" spans="1:13" x14ac:dyDescent="0.3">
      <c r="A141" s="1"/>
      <c r="B141" s="1"/>
      <c r="C141" s="9" t="s">
        <v>177</v>
      </c>
      <c r="D141" s="9" t="s">
        <v>178</v>
      </c>
      <c r="E141" s="9" t="s">
        <v>178</v>
      </c>
      <c r="F141" s="9" t="s">
        <v>22</v>
      </c>
      <c r="G141" s="11" t="s">
        <v>19</v>
      </c>
      <c r="H141" s="2"/>
      <c r="I141" s="7"/>
      <c r="J141" s="4"/>
      <c r="K141" s="12"/>
    </row>
    <row r="142" spans="1:13" x14ac:dyDescent="0.3">
      <c r="A142" s="1"/>
      <c r="B142" s="1"/>
      <c r="C142" s="1"/>
      <c r="D142" s="1"/>
      <c r="E142" s="1"/>
      <c r="F142" s="1"/>
      <c r="G142" s="9" t="s">
        <v>1612</v>
      </c>
      <c r="H142" s="9" t="s">
        <v>119</v>
      </c>
      <c r="I142" s="9" t="s">
        <v>1296</v>
      </c>
      <c r="J142" s="3" t="s">
        <v>1613</v>
      </c>
      <c r="K142" s="13" t="s">
        <v>1614</v>
      </c>
      <c r="L142" s="15">
        <f t="shared" si="7"/>
        <v>2.3831018518518543E-2</v>
      </c>
      <c r="M142">
        <f t="shared" si="8"/>
        <v>18</v>
      </c>
    </row>
    <row r="143" spans="1:13" x14ac:dyDescent="0.3">
      <c r="A143" s="1"/>
      <c r="B143" s="1"/>
      <c r="C143" s="1"/>
      <c r="D143" s="1"/>
      <c r="E143" s="1"/>
      <c r="F143" s="1"/>
      <c r="G143" s="9" t="s">
        <v>1615</v>
      </c>
      <c r="H143" s="9" t="s">
        <v>119</v>
      </c>
      <c r="I143" s="9" t="s">
        <v>1296</v>
      </c>
      <c r="J143" s="3" t="s">
        <v>1616</v>
      </c>
      <c r="K143" s="13" t="s">
        <v>1617</v>
      </c>
      <c r="L143" s="15">
        <f t="shared" si="7"/>
        <v>1.7152777777777684E-2</v>
      </c>
      <c r="M143">
        <f t="shared" si="8"/>
        <v>22</v>
      </c>
    </row>
    <row r="144" spans="1:13" x14ac:dyDescent="0.3">
      <c r="A144" s="1"/>
      <c r="B144" s="1"/>
      <c r="C144" s="9" t="s">
        <v>185</v>
      </c>
      <c r="D144" s="9" t="s">
        <v>186</v>
      </c>
      <c r="E144" s="9" t="s">
        <v>186</v>
      </c>
      <c r="F144" s="9" t="s">
        <v>22</v>
      </c>
      <c r="G144" s="11" t="s">
        <v>19</v>
      </c>
      <c r="H144" s="2"/>
      <c r="I144" s="7"/>
      <c r="J144" s="4"/>
      <c r="K144" s="12"/>
    </row>
    <row r="145" spans="1:13" x14ac:dyDescent="0.3">
      <c r="A145" s="1"/>
      <c r="B145" s="1"/>
      <c r="C145" s="1"/>
      <c r="D145" s="1"/>
      <c r="E145" s="1"/>
      <c r="F145" s="1"/>
      <c r="G145" s="9" t="s">
        <v>1618</v>
      </c>
      <c r="H145" s="9" t="s">
        <v>119</v>
      </c>
      <c r="I145" s="9" t="s">
        <v>1296</v>
      </c>
      <c r="J145" s="3" t="s">
        <v>1619</v>
      </c>
      <c r="K145" s="13" t="s">
        <v>797</v>
      </c>
      <c r="L145" s="15">
        <f t="shared" si="7"/>
        <v>3.1631944444444393E-2</v>
      </c>
      <c r="M145">
        <f t="shared" si="8"/>
        <v>6</v>
      </c>
    </row>
    <row r="146" spans="1:13" x14ac:dyDescent="0.3">
      <c r="A146" s="1"/>
      <c r="B146" s="1"/>
      <c r="C146" s="1"/>
      <c r="D146" s="1"/>
      <c r="E146" s="1"/>
      <c r="F146" s="1"/>
      <c r="G146" s="9" t="s">
        <v>1620</v>
      </c>
      <c r="H146" s="9" t="s">
        <v>119</v>
      </c>
      <c r="I146" s="9" t="s">
        <v>1296</v>
      </c>
      <c r="J146" s="3" t="s">
        <v>1621</v>
      </c>
      <c r="K146" s="13" t="s">
        <v>1622</v>
      </c>
      <c r="L146" s="15">
        <f t="shared" si="7"/>
        <v>1.804398148148148E-2</v>
      </c>
      <c r="M146">
        <f t="shared" si="8"/>
        <v>3</v>
      </c>
    </row>
    <row r="147" spans="1:13" x14ac:dyDescent="0.3">
      <c r="A147" s="1"/>
      <c r="B147" s="1"/>
      <c r="C147" s="9" t="s">
        <v>47</v>
      </c>
      <c r="D147" s="9" t="s">
        <v>48</v>
      </c>
      <c r="E147" s="11" t="s">
        <v>19</v>
      </c>
      <c r="F147" s="2"/>
      <c r="G147" s="2"/>
      <c r="H147" s="2"/>
      <c r="I147" s="7"/>
      <c r="J147" s="4"/>
      <c r="K147" s="12"/>
    </row>
    <row r="148" spans="1:13" x14ac:dyDescent="0.3">
      <c r="A148" s="1"/>
      <c r="B148" s="1"/>
      <c r="C148" s="1"/>
      <c r="D148" s="1"/>
      <c r="E148" s="9" t="s">
        <v>190</v>
      </c>
      <c r="F148" s="9" t="s">
        <v>22</v>
      </c>
      <c r="G148" s="11" t="s">
        <v>19</v>
      </c>
      <c r="H148" s="2"/>
      <c r="I148" s="7"/>
      <c r="J148" s="4"/>
      <c r="K148" s="12"/>
    </row>
    <row r="149" spans="1:13" x14ac:dyDescent="0.3">
      <c r="A149" s="1"/>
      <c r="B149" s="1"/>
      <c r="C149" s="1"/>
      <c r="D149" s="1"/>
      <c r="E149" s="1"/>
      <c r="F149" s="1"/>
      <c r="G149" s="9" t="s">
        <v>1623</v>
      </c>
      <c r="H149" s="9" t="s">
        <v>192</v>
      </c>
      <c r="I149" s="9" t="s">
        <v>1296</v>
      </c>
      <c r="J149" s="3" t="s">
        <v>1624</v>
      </c>
      <c r="K149" s="13" t="s">
        <v>1625</v>
      </c>
      <c r="L149" s="15">
        <f t="shared" si="7"/>
        <v>1.7280092592592583E-2</v>
      </c>
      <c r="M149">
        <f t="shared" si="8"/>
        <v>5</v>
      </c>
    </row>
    <row r="150" spans="1:13" x14ac:dyDescent="0.3">
      <c r="A150" s="1"/>
      <c r="B150" s="1"/>
      <c r="C150" s="1"/>
      <c r="D150" s="1"/>
      <c r="E150" s="1"/>
      <c r="F150" s="1"/>
      <c r="G150" s="9" t="s">
        <v>1626</v>
      </c>
      <c r="H150" s="9" t="s">
        <v>192</v>
      </c>
      <c r="I150" s="9" t="s">
        <v>1296</v>
      </c>
      <c r="J150" s="3" t="s">
        <v>1627</v>
      </c>
      <c r="K150" s="13" t="s">
        <v>1628</v>
      </c>
      <c r="L150" s="15">
        <f t="shared" si="7"/>
        <v>3.3784722222222174E-2</v>
      </c>
      <c r="M150">
        <f t="shared" si="8"/>
        <v>10</v>
      </c>
    </row>
    <row r="151" spans="1:13" x14ac:dyDescent="0.3">
      <c r="A151" s="1"/>
      <c r="B151" s="1"/>
      <c r="C151" s="1"/>
      <c r="D151" s="1"/>
      <c r="E151" s="1"/>
      <c r="F151" s="1"/>
      <c r="G151" s="9" t="s">
        <v>1629</v>
      </c>
      <c r="H151" s="9" t="s">
        <v>192</v>
      </c>
      <c r="I151" s="9" t="s">
        <v>1296</v>
      </c>
      <c r="J151" s="3" t="s">
        <v>1630</v>
      </c>
      <c r="K151" s="13" t="s">
        <v>1631</v>
      </c>
      <c r="L151" s="15">
        <f t="shared" si="7"/>
        <v>3.6307870370370421E-2</v>
      </c>
      <c r="M151">
        <f t="shared" si="8"/>
        <v>10</v>
      </c>
    </row>
    <row r="152" spans="1:13" x14ac:dyDescent="0.3">
      <c r="A152" s="1"/>
      <c r="B152" s="1"/>
      <c r="C152" s="1"/>
      <c r="D152" s="1"/>
      <c r="E152" s="1"/>
      <c r="F152" s="1"/>
      <c r="G152" s="9" t="s">
        <v>1632</v>
      </c>
      <c r="H152" s="9" t="s">
        <v>192</v>
      </c>
      <c r="I152" s="9" t="s">
        <v>1296</v>
      </c>
      <c r="J152" s="3" t="s">
        <v>1633</v>
      </c>
      <c r="K152" s="13" t="s">
        <v>1634</v>
      </c>
      <c r="L152" s="15">
        <f t="shared" si="7"/>
        <v>1.3310185185185119E-2</v>
      </c>
      <c r="M152">
        <f t="shared" si="8"/>
        <v>16</v>
      </c>
    </row>
    <row r="153" spans="1:13" x14ac:dyDescent="0.3">
      <c r="A153" s="1"/>
      <c r="B153" s="1"/>
      <c r="C153" s="1"/>
      <c r="D153" s="1"/>
      <c r="E153" s="9" t="s">
        <v>48</v>
      </c>
      <c r="F153" s="9" t="s">
        <v>22</v>
      </c>
      <c r="G153" s="11" t="s">
        <v>19</v>
      </c>
      <c r="H153" s="2"/>
      <c r="I153" s="7"/>
      <c r="J153" s="4"/>
      <c r="K153" s="12"/>
    </row>
    <row r="154" spans="1:13" x14ac:dyDescent="0.3">
      <c r="A154" s="1"/>
      <c r="B154" s="1"/>
      <c r="C154" s="1"/>
      <c r="D154" s="1"/>
      <c r="E154" s="1"/>
      <c r="F154" s="1"/>
      <c r="G154" s="9" t="s">
        <v>1635</v>
      </c>
      <c r="H154" s="9" t="s">
        <v>192</v>
      </c>
      <c r="I154" s="9" t="s">
        <v>1296</v>
      </c>
      <c r="J154" s="3" t="s">
        <v>1636</v>
      </c>
      <c r="K154" s="13" t="s">
        <v>1637</v>
      </c>
      <c r="L154" s="15">
        <f t="shared" si="7"/>
        <v>3.2673611111111167E-2</v>
      </c>
      <c r="M154">
        <f t="shared" si="8"/>
        <v>9</v>
      </c>
    </row>
    <row r="155" spans="1:13" x14ac:dyDescent="0.3">
      <c r="A155" s="1"/>
      <c r="B155" s="1"/>
      <c r="C155" s="1"/>
      <c r="D155" s="1"/>
      <c r="E155" s="1"/>
      <c r="F155" s="1"/>
      <c r="G155" s="9" t="s">
        <v>1638</v>
      </c>
      <c r="H155" s="9" t="s">
        <v>192</v>
      </c>
      <c r="I155" s="9" t="s">
        <v>1296</v>
      </c>
      <c r="J155" s="3" t="s">
        <v>1639</v>
      </c>
      <c r="K155" s="13" t="s">
        <v>1640</v>
      </c>
      <c r="L155" s="15">
        <f t="shared" si="7"/>
        <v>2.6203703703703618E-2</v>
      </c>
      <c r="M155">
        <f t="shared" si="8"/>
        <v>12</v>
      </c>
    </row>
    <row r="156" spans="1:13" x14ac:dyDescent="0.3">
      <c r="A156" s="1"/>
      <c r="B156" s="1"/>
      <c r="C156" s="1"/>
      <c r="D156" s="1"/>
      <c r="E156" s="1"/>
      <c r="F156" s="1"/>
      <c r="G156" s="9" t="s">
        <v>1641</v>
      </c>
      <c r="H156" s="9" t="s">
        <v>192</v>
      </c>
      <c r="I156" s="9" t="s">
        <v>1296</v>
      </c>
      <c r="J156" s="3" t="s">
        <v>1642</v>
      </c>
      <c r="K156" s="13" t="s">
        <v>1186</v>
      </c>
      <c r="L156" s="15">
        <f t="shared" si="7"/>
        <v>2.6793981481481488E-2</v>
      </c>
      <c r="M156">
        <f t="shared" si="8"/>
        <v>16</v>
      </c>
    </row>
    <row r="157" spans="1:13" x14ac:dyDescent="0.3">
      <c r="A157" s="1"/>
      <c r="B157" s="1"/>
      <c r="C157" s="1"/>
      <c r="D157" s="1"/>
      <c r="E157" s="1"/>
      <c r="F157" s="1"/>
      <c r="G157" s="9" t="s">
        <v>1643</v>
      </c>
      <c r="H157" s="9" t="s">
        <v>192</v>
      </c>
      <c r="I157" s="9" t="s">
        <v>1296</v>
      </c>
      <c r="J157" s="3" t="s">
        <v>1644</v>
      </c>
      <c r="K157" s="13" t="s">
        <v>1645</v>
      </c>
      <c r="L157" s="15">
        <f t="shared" si="7"/>
        <v>1.8495370370370412E-2</v>
      </c>
      <c r="M157">
        <f t="shared" si="8"/>
        <v>17</v>
      </c>
    </row>
    <row r="158" spans="1:13" x14ac:dyDescent="0.3">
      <c r="A158" s="1"/>
      <c r="B158" s="1"/>
      <c r="C158" s="9" t="s">
        <v>403</v>
      </c>
      <c r="D158" s="9" t="s">
        <v>404</v>
      </c>
      <c r="E158" s="9" t="s">
        <v>404</v>
      </c>
      <c r="F158" s="9" t="s">
        <v>22</v>
      </c>
      <c r="G158" s="9" t="s">
        <v>1646</v>
      </c>
      <c r="H158" s="9" t="s">
        <v>119</v>
      </c>
      <c r="I158" s="9" t="s">
        <v>1296</v>
      </c>
      <c r="J158" s="3" t="s">
        <v>1647</v>
      </c>
      <c r="K158" s="13" t="s">
        <v>1648</v>
      </c>
      <c r="L158" s="15">
        <f t="shared" si="7"/>
        <v>3.689814814814818E-2</v>
      </c>
      <c r="M158">
        <f t="shared" si="8"/>
        <v>10</v>
      </c>
    </row>
    <row r="159" spans="1:13" x14ac:dyDescent="0.3">
      <c r="A159" s="1"/>
      <c r="B159" s="1"/>
      <c r="C159" s="9" t="s">
        <v>204</v>
      </c>
      <c r="D159" s="9" t="s">
        <v>205</v>
      </c>
      <c r="E159" s="9" t="s">
        <v>205</v>
      </c>
      <c r="F159" s="9" t="s">
        <v>22</v>
      </c>
      <c r="G159" s="11" t="s">
        <v>19</v>
      </c>
      <c r="H159" s="2"/>
      <c r="I159" s="7"/>
      <c r="J159" s="4"/>
      <c r="K159" s="12"/>
    </row>
    <row r="160" spans="1:13" x14ac:dyDescent="0.3">
      <c r="A160" s="1"/>
      <c r="B160" s="1"/>
      <c r="C160" s="1"/>
      <c r="D160" s="1"/>
      <c r="E160" s="1"/>
      <c r="F160" s="1"/>
      <c r="G160" s="9" t="s">
        <v>1649</v>
      </c>
      <c r="H160" s="9" t="s">
        <v>119</v>
      </c>
      <c r="I160" s="9" t="s">
        <v>1296</v>
      </c>
      <c r="J160" s="3" t="s">
        <v>1650</v>
      </c>
      <c r="K160" s="13" t="s">
        <v>1651</v>
      </c>
      <c r="L160" s="15">
        <f t="shared" si="7"/>
        <v>1.4988425925925919E-2</v>
      </c>
      <c r="M160">
        <f t="shared" si="8"/>
        <v>3</v>
      </c>
    </row>
    <row r="161" spans="1:13" x14ac:dyDescent="0.3">
      <c r="A161" s="1"/>
      <c r="B161" s="1"/>
      <c r="C161" s="1"/>
      <c r="D161" s="1"/>
      <c r="E161" s="1"/>
      <c r="F161" s="1"/>
      <c r="G161" s="9" t="s">
        <v>1652</v>
      </c>
      <c r="H161" s="9" t="s">
        <v>119</v>
      </c>
      <c r="I161" s="9" t="s">
        <v>1296</v>
      </c>
      <c r="J161" s="3" t="s">
        <v>1653</v>
      </c>
      <c r="K161" s="13" t="s">
        <v>1654</v>
      </c>
      <c r="L161" s="15">
        <f t="shared" si="7"/>
        <v>1.8356481481481446E-2</v>
      </c>
      <c r="M161">
        <f t="shared" si="8"/>
        <v>7</v>
      </c>
    </row>
    <row r="162" spans="1:13" x14ac:dyDescent="0.3">
      <c r="A162" s="1"/>
      <c r="B162" s="1"/>
      <c r="C162" s="9" t="s">
        <v>1209</v>
      </c>
      <c r="D162" s="9" t="s">
        <v>1210</v>
      </c>
      <c r="E162" s="9" t="s">
        <v>1210</v>
      </c>
      <c r="F162" s="9" t="s">
        <v>22</v>
      </c>
      <c r="G162" s="11" t="s">
        <v>19</v>
      </c>
      <c r="H162" s="2"/>
      <c r="I162" s="7"/>
      <c r="J162" s="4"/>
      <c r="K162" s="12"/>
    </row>
    <row r="163" spans="1:13" x14ac:dyDescent="0.3">
      <c r="A163" s="1"/>
      <c r="B163" s="1"/>
      <c r="C163" s="1"/>
      <c r="D163" s="1"/>
      <c r="E163" s="1"/>
      <c r="F163" s="1"/>
      <c r="G163" s="9" t="s">
        <v>1655</v>
      </c>
      <c r="H163" s="9" t="s">
        <v>119</v>
      </c>
      <c r="I163" s="9" t="s">
        <v>1296</v>
      </c>
      <c r="J163" s="3" t="s">
        <v>1656</v>
      </c>
      <c r="K163" s="13" t="s">
        <v>1657</v>
      </c>
      <c r="L163" s="15">
        <f t="shared" si="7"/>
        <v>3.3842592592592646E-2</v>
      </c>
      <c r="M163">
        <f t="shared" si="8"/>
        <v>9</v>
      </c>
    </row>
    <row r="164" spans="1:13" x14ac:dyDescent="0.3">
      <c r="A164" s="1"/>
      <c r="B164" s="1"/>
      <c r="C164" s="1"/>
      <c r="D164" s="1"/>
      <c r="E164" s="1"/>
      <c r="F164" s="1"/>
      <c r="G164" s="9" t="s">
        <v>1658</v>
      </c>
      <c r="H164" s="9" t="s">
        <v>119</v>
      </c>
      <c r="I164" s="9" t="s">
        <v>1296</v>
      </c>
      <c r="J164" s="3" t="s">
        <v>1659</v>
      </c>
      <c r="K164" s="13" t="s">
        <v>1660</v>
      </c>
      <c r="L164" s="15">
        <f t="shared" si="7"/>
        <v>3.3657407407407414E-2</v>
      </c>
      <c r="M164">
        <f t="shared" si="8"/>
        <v>9</v>
      </c>
    </row>
    <row r="165" spans="1:13" x14ac:dyDescent="0.3">
      <c r="A165" s="9" t="s">
        <v>414</v>
      </c>
      <c r="B165" s="9" t="s">
        <v>415</v>
      </c>
      <c r="C165" s="9" t="s">
        <v>846</v>
      </c>
      <c r="D165" s="9" t="s">
        <v>847</v>
      </c>
      <c r="E165" s="9" t="s">
        <v>847</v>
      </c>
      <c r="F165" s="9" t="s">
        <v>418</v>
      </c>
      <c r="G165" s="9" t="s">
        <v>1661</v>
      </c>
      <c r="H165" s="9" t="s">
        <v>119</v>
      </c>
      <c r="I165" s="9" t="s">
        <v>1296</v>
      </c>
      <c r="J165" s="3" t="s">
        <v>1662</v>
      </c>
      <c r="K165" s="13" t="s">
        <v>1663</v>
      </c>
      <c r="L165" s="15">
        <f t="shared" si="7"/>
        <v>1.7673611111111209E-2</v>
      </c>
      <c r="M165">
        <f t="shared" si="8"/>
        <v>19</v>
      </c>
    </row>
    <row r="166" spans="1:13" x14ac:dyDescent="0.3">
      <c r="A166" s="9" t="s">
        <v>427</v>
      </c>
      <c r="B166" s="9" t="s">
        <v>428</v>
      </c>
      <c r="C166" s="11" t="s">
        <v>19</v>
      </c>
      <c r="D166" s="2"/>
      <c r="E166" s="2"/>
      <c r="F166" s="2"/>
      <c r="G166" s="2"/>
      <c r="H166" s="2"/>
      <c r="I166" s="7"/>
      <c r="J166" s="4"/>
      <c r="K166" s="12"/>
    </row>
    <row r="167" spans="1:13" x14ac:dyDescent="0.3">
      <c r="A167" s="1"/>
      <c r="B167" s="1"/>
      <c r="C167" s="9" t="s">
        <v>429</v>
      </c>
      <c r="D167" s="9" t="s">
        <v>430</v>
      </c>
      <c r="E167" s="9" t="s">
        <v>430</v>
      </c>
      <c r="F167" s="9" t="s">
        <v>22</v>
      </c>
      <c r="G167" s="9" t="s">
        <v>1664</v>
      </c>
      <c r="H167" s="9" t="s">
        <v>119</v>
      </c>
      <c r="I167" s="9" t="s">
        <v>1296</v>
      </c>
      <c r="J167" s="3" t="s">
        <v>1665</v>
      </c>
      <c r="K167" s="13" t="s">
        <v>1666</v>
      </c>
      <c r="L167" s="15">
        <f t="shared" si="7"/>
        <v>1.3356481481481497E-2</v>
      </c>
      <c r="M167">
        <f t="shared" si="8"/>
        <v>4</v>
      </c>
    </row>
    <row r="168" spans="1:13" x14ac:dyDescent="0.3">
      <c r="A168" s="1"/>
      <c r="B168" s="1"/>
      <c r="C168" s="9" t="s">
        <v>446</v>
      </c>
      <c r="D168" s="9" t="s">
        <v>447</v>
      </c>
      <c r="E168" s="9" t="s">
        <v>448</v>
      </c>
      <c r="F168" s="9" t="s">
        <v>22</v>
      </c>
      <c r="G168" s="9" t="s">
        <v>1667</v>
      </c>
      <c r="H168" s="9" t="s">
        <v>119</v>
      </c>
      <c r="I168" s="9" t="s">
        <v>1296</v>
      </c>
      <c r="J168" s="3" t="s">
        <v>1668</v>
      </c>
      <c r="K168" s="13" t="s">
        <v>1669</v>
      </c>
      <c r="L168" s="15">
        <f t="shared" si="7"/>
        <v>1.1562499999999976E-2</v>
      </c>
      <c r="M168">
        <f t="shared" si="8"/>
        <v>5</v>
      </c>
    </row>
    <row r="169" spans="1:13" x14ac:dyDescent="0.3">
      <c r="A169" s="1"/>
      <c r="B169" s="1"/>
      <c r="C169" s="9" t="s">
        <v>1670</v>
      </c>
      <c r="D169" s="9" t="s">
        <v>1671</v>
      </c>
      <c r="E169" s="9" t="s">
        <v>1672</v>
      </c>
      <c r="F169" s="9" t="s">
        <v>22</v>
      </c>
      <c r="G169" s="9" t="s">
        <v>1673</v>
      </c>
      <c r="H169" s="9" t="s">
        <v>119</v>
      </c>
      <c r="I169" s="9" t="s">
        <v>1296</v>
      </c>
      <c r="J169" s="3" t="s">
        <v>1674</v>
      </c>
      <c r="K169" s="13" t="s">
        <v>1675</v>
      </c>
      <c r="L169" s="15">
        <f t="shared" si="7"/>
        <v>1.649305555555558E-2</v>
      </c>
      <c r="M169">
        <f t="shared" si="8"/>
        <v>7</v>
      </c>
    </row>
    <row r="170" spans="1:13" x14ac:dyDescent="0.3">
      <c r="A170" s="1"/>
      <c r="B170" s="1"/>
      <c r="C170" s="9" t="s">
        <v>452</v>
      </c>
      <c r="D170" s="9" t="s">
        <v>453</v>
      </c>
      <c r="E170" s="9" t="s">
        <v>454</v>
      </c>
      <c r="F170" s="9" t="s">
        <v>22</v>
      </c>
      <c r="G170" s="9" t="s">
        <v>1676</v>
      </c>
      <c r="H170" s="9" t="s">
        <v>119</v>
      </c>
      <c r="I170" s="9" t="s">
        <v>1296</v>
      </c>
      <c r="J170" s="3" t="s">
        <v>1677</v>
      </c>
      <c r="K170" s="13" t="s">
        <v>1678</v>
      </c>
      <c r="L170" s="15">
        <f t="shared" si="7"/>
        <v>3.5092592592592564E-2</v>
      </c>
      <c r="M170">
        <f t="shared" si="8"/>
        <v>10</v>
      </c>
    </row>
    <row r="171" spans="1:13" x14ac:dyDescent="0.3">
      <c r="A171" s="9" t="s">
        <v>464</v>
      </c>
      <c r="B171" s="9" t="s">
        <v>465</v>
      </c>
      <c r="C171" s="11" t="s">
        <v>19</v>
      </c>
      <c r="D171" s="2"/>
      <c r="E171" s="2"/>
      <c r="F171" s="2"/>
      <c r="G171" s="2"/>
      <c r="H171" s="2"/>
      <c r="I171" s="7"/>
      <c r="J171" s="4"/>
      <c r="K171" s="12"/>
    </row>
    <row r="172" spans="1:13" x14ac:dyDescent="0.3">
      <c r="A172" s="1"/>
      <c r="B172" s="1"/>
      <c r="C172" s="9" t="s">
        <v>466</v>
      </c>
      <c r="D172" s="9" t="s">
        <v>467</v>
      </c>
      <c r="E172" s="9" t="s">
        <v>468</v>
      </c>
      <c r="F172" s="9" t="s">
        <v>22</v>
      </c>
      <c r="G172" s="9" t="s">
        <v>1679</v>
      </c>
      <c r="H172" s="9" t="s">
        <v>39</v>
      </c>
      <c r="I172" s="9" t="s">
        <v>1296</v>
      </c>
      <c r="J172" s="3" t="s">
        <v>649</v>
      </c>
      <c r="K172" s="13" t="s">
        <v>1680</v>
      </c>
      <c r="L172" s="15">
        <f t="shared" si="7"/>
        <v>2.3680555555555594E-2</v>
      </c>
      <c r="M172">
        <f t="shared" si="8"/>
        <v>15</v>
      </c>
    </row>
    <row r="173" spans="1:13" x14ac:dyDescent="0.3">
      <c r="A173" s="1"/>
      <c r="B173" s="1"/>
      <c r="C173" s="9" t="s">
        <v>1277</v>
      </c>
      <c r="D173" s="9" t="s">
        <v>1278</v>
      </c>
      <c r="E173" s="9" t="s">
        <v>1279</v>
      </c>
      <c r="F173" s="9" t="s">
        <v>22</v>
      </c>
      <c r="G173" s="11" t="s">
        <v>19</v>
      </c>
      <c r="H173" s="2"/>
      <c r="I173" s="7"/>
      <c r="J173" s="4"/>
      <c r="K173" s="12"/>
    </row>
    <row r="174" spans="1:13" x14ac:dyDescent="0.3">
      <c r="A174" s="1"/>
      <c r="B174" s="1"/>
      <c r="C174" s="1"/>
      <c r="D174" s="1"/>
      <c r="E174" s="1"/>
      <c r="F174" s="1"/>
      <c r="G174" s="9" t="s">
        <v>1681</v>
      </c>
      <c r="H174" s="9" t="s">
        <v>39</v>
      </c>
      <c r="I174" s="9" t="s">
        <v>1296</v>
      </c>
      <c r="J174" s="3" t="s">
        <v>1682</v>
      </c>
      <c r="K174" s="13" t="s">
        <v>1683</v>
      </c>
      <c r="L174" s="15">
        <f t="shared" si="7"/>
        <v>1.5462962962962901E-2</v>
      </c>
      <c r="M174">
        <f t="shared" si="8"/>
        <v>12</v>
      </c>
    </row>
    <row r="175" spans="1:13" x14ac:dyDescent="0.3">
      <c r="A175" s="1"/>
      <c r="B175" s="1"/>
      <c r="C175" s="1"/>
      <c r="D175" s="1"/>
      <c r="E175" s="1"/>
      <c r="F175" s="1"/>
      <c r="G175" s="9" t="s">
        <v>1684</v>
      </c>
      <c r="H175" s="9" t="s">
        <v>39</v>
      </c>
      <c r="I175" s="9" t="s">
        <v>1296</v>
      </c>
      <c r="J175" s="6" t="s">
        <v>1685</v>
      </c>
      <c r="K175" s="14" t="s">
        <v>1686</v>
      </c>
      <c r="L175" s="15">
        <f t="shared" si="7"/>
        <v>1.5127314814814774E-2</v>
      </c>
      <c r="M175">
        <f t="shared" si="8"/>
        <v>17</v>
      </c>
    </row>
  </sheetData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101"/>
  <sheetViews>
    <sheetView zoomScale="84" zoomScaleNormal="84" workbookViewId="0">
      <selection activeCell="S2" sqref="S2:S25"/>
    </sheetView>
  </sheetViews>
  <sheetFormatPr defaultRowHeight="14.65" x14ac:dyDescent="0.3"/>
  <cols>
    <col min="1" max="1" width="14.109375" bestFit="1" customWidth="1"/>
    <col min="2" max="2" width="31.88671875" bestFit="1" customWidth="1"/>
    <col min="3" max="3" width="7.5546875" bestFit="1" customWidth="1"/>
    <col min="4" max="5" width="31.33203125" bestFit="1" customWidth="1"/>
    <col min="6" max="7" width="13.109375" bestFit="1" customWidth="1"/>
    <col min="8" max="8" width="18.44140625" bestFit="1" customWidth="1"/>
    <col min="9" max="9" width="16.6640625" bestFit="1" customWidth="1"/>
    <col min="10" max="10" width="14.88671875" bestFit="1" customWidth="1"/>
    <col min="11" max="11" width="16" bestFit="1" customWidth="1"/>
    <col min="12" max="12" width="11" style="15" bestFit="1" customWidth="1"/>
    <col min="13" max="13" width="11.5546875" bestFit="1" customWidth="1"/>
    <col min="15" max="15" width="11.88671875" bestFit="1" customWidth="1"/>
    <col min="16" max="16" width="30.33203125" bestFit="1" customWidth="1"/>
    <col min="17" max="17" width="43.6640625" bestFit="1" customWidth="1"/>
    <col min="18" max="18" width="50.44140625" bestFit="1" customWidth="1"/>
    <col min="19" max="19" width="40.88671875" bestFit="1" customWidth="1"/>
  </cols>
  <sheetData>
    <row r="1" spans="1:19" x14ac:dyDescent="0.3">
      <c r="A1" s="8" t="s">
        <v>0</v>
      </c>
      <c r="B1" s="5"/>
      <c r="C1" s="8" t="s">
        <v>1</v>
      </c>
      <c r="D1" s="5"/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  <c r="J1" s="9" t="s">
        <v>7</v>
      </c>
      <c r="K1" s="9" t="s">
        <v>8</v>
      </c>
      <c r="L1" s="15" t="s">
        <v>9</v>
      </c>
      <c r="M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</row>
    <row r="2" spans="1:19" x14ac:dyDescent="0.3">
      <c r="A2" s="10" t="s">
        <v>16</v>
      </c>
      <c r="B2" s="2"/>
      <c r="C2" s="2"/>
      <c r="D2" s="2"/>
      <c r="E2" s="2"/>
      <c r="F2" s="2"/>
      <c r="G2" s="2"/>
      <c r="H2" s="2"/>
      <c r="I2" s="7"/>
      <c r="J2" s="4"/>
      <c r="K2" s="12"/>
      <c r="O2">
        <v>0</v>
      </c>
      <c r="P2">
        <f>COUNTIF(M:M,"0")</f>
        <v>1</v>
      </c>
      <c r="Q2">
        <f>AVERAGE($P$2:$P$25)</f>
        <v>3.0416666666666665</v>
      </c>
      <c r="R2" s="15">
        <f>AVERAGEIF(M:M,O2,L:L)</f>
        <v>1.5104166666666669E-2</v>
      </c>
      <c r="S2" s="15">
        <f>AVERAGEIF($R$2:$R$25, "&lt;&gt; 0")</f>
        <v>1.8385615369442134E-2</v>
      </c>
    </row>
    <row r="3" spans="1:19" x14ac:dyDescent="0.3">
      <c r="A3" s="9" t="s">
        <v>17</v>
      </c>
      <c r="B3" s="9" t="s">
        <v>18</v>
      </c>
      <c r="C3" s="11" t="s">
        <v>19</v>
      </c>
      <c r="D3" s="2"/>
      <c r="E3" s="2"/>
      <c r="F3" s="2"/>
      <c r="G3" s="2"/>
      <c r="H3" s="2"/>
      <c r="I3" s="7"/>
      <c r="J3" s="4"/>
      <c r="K3" s="12"/>
      <c r="O3">
        <v>1</v>
      </c>
      <c r="P3">
        <f>COUNTIF(M:M,"1")</f>
        <v>2</v>
      </c>
      <c r="Q3">
        <f t="shared" ref="Q3:Q25" si="0">AVERAGE($P$2:$P$25)</f>
        <v>3.0416666666666665</v>
      </c>
      <c r="R3" s="15">
        <f t="shared" ref="R3:R24" si="1">AVERAGEIF(M:M,O3,L:L)</f>
        <v>1.1788194444444445E-2</v>
      </c>
      <c r="S3" s="15">
        <f t="shared" ref="S3:S25" si="2">AVERAGEIF($R$2:$R$25, "&lt;&gt; 0")</f>
        <v>1.8385615369442134E-2</v>
      </c>
    </row>
    <row r="4" spans="1:19" x14ac:dyDescent="0.3">
      <c r="A4" s="1"/>
      <c r="B4" s="1"/>
      <c r="C4" s="9" t="s">
        <v>20</v>
      </c>
      <c r="D4" s="9" t="s">
        <v>21</v>
      </c>
      <c r="E4" s="9" t="s">
        <v>21</v>
      </c>
      <c r="F4" s="9" t="s">
        <v>22</v>
      </c>
      <c r="G4" s="11" t="s">
        <v>19</v>
      </c>
      <c r="H4" s="2"/>
      <c r="I4" s="7"/>
      <c r="J4" s="4"/>
      <c r="K4" s="12"/>
      <c r="O4">
        <v>2</v>
      </c>
      <c r="P4">
        <f>COUNTIF(M:M,"2")</f>
        <v>1</v>
      </c>
      <c r="Q4">
        <f t="shared" si="0"/>
        <v>3.0416666666666665</v>
      </c>
      <c r="R4" s="15">
        <f t="shared" si="1"/>
        <v>1.8796296296296297E-2</v>
      </c>
      <c r="S4" s="15">
        <f t="shared" si="2"/>
        <v>1.8385615369442134E-2</v>
      </c>
    </row>
    <row r="5" spans="1:19" x14ac:dyDescent="0.3">
      <c r="A5" s="1"/>
      <c r="B5" s="1"/>
      <c r="C5" s="1"/>
      <c r="D5" s="1"/>
      <c r="E5" s="1"/>
      <c r="F5" s="1"/>
      <c r="G5" s="9" t="s">
        <v>1687</v>
      </c>
      <c r="H5" s="9" t="s">
        <v>24</v>
      </c>
      <c r="I5" s="9" t="s">
        <v>1688</v>
      </c>
      <c r="J5" s="3" t="s">
        <v>1689</v>
      </c>
      <c r="K5" s="13" t="s">
        <v>1690</v>
      </c>
      <c r="L5" s="15">
        <f t="shared" ref="L5:L66" si="3">K5-J5</f>
        <v>1.5324074074074101E-2</v>
      </c>
      <c r="M5">
        <f t="shared" ref="M5:M66" si="4">HOUR(J5)</f>
        <v>5</v>
      </c>
      <c r="O5">
        <v>3</v>
      </c>
      <c r="P5">
        <f>COUNTIF(M:M,"3")</f>
        <v>0</v>
      </c>
      <c r="Q5">
        <f t="shared" si="0"/>
        <v>3.0416666666666665</v>
      </c>
      <c r="R5" s="15">
        <v>0</v>
      </c>
      <c r="S5" s="15">
        <f t="shared" si="2"/>
        <v>1.8385615369442134E-2</v>
      </c>
    </row>
    <row r="6" spans="1:19" x14ac:dyDescent="0.3">
      <c r="A6" s="1"/>
      <c r="B6" s="1"/>
      <c r="C6" s="1"/>
      <c r="D6" s="1"/>
      <c r="E6" s="1"/>
      <c r="F6" s="1"/>
      <c r="G6" s="9" t="s">
        <v>1691</v>
      </c>
      <c r="H6" s="9" t="s">
        <v>39</v>
      </c>
      <c r="I6" s="9" t="s">
        <v>1688</v>
      </c>
      <c r="J6" s="3" t="s">
        <v>1692</v>
      </c>
      <c r="K6" s="13" t="s">
        <v>1693</v>
      </c>
      <c r="L6" s="15">
        <f t="shared" si="3"/>
        <v>2.003472222222219E-2</v>
      </c>
      <c r="M6">
        <f t="shared" si="4"/>
        <v>10</v>
      </c>
      <c r="O6">
        <v>4</v>
      </c>
      <c r="P6">
        <f>COUNTIF(M:M,"4")</f>
        <v>5</v>
      </c>
      <c r="Q6">
        <f t="shared" si="0"/>
        <v>3.0416666666666665</v>
      </c>
      <c r="R6" s="15">
        <f t="shared" si="1"/>
        <v>1.3513888888888886E-2</v>
      </c>
      <c r="S6" s="15">
        <f t="shared" si="2"/>
        <v>1.8385615369442134E-2</v>
      </c>
    </row>
    <row r="7" spans="1:19" x14ac:dyDescent="0.3">
      <c r="A7" s="1"/>
      <c r="B7" s="1"/>
      <c r="C7" s="1"/>
      <c r="D7" s="1"/>
      <c r="E7" s="1"/>
      <c r="F7" s="1"/>
      <c r="G7" s="9" t="s">
        <v>1694</v>
      </c>
      <c r="H7" s="9" t="s">
        <v>24</v>
      </c>
      <c r="I7" s="9" t="s">
        <v>1688</v>
      </c>
      <c r="J7" s="3" t="s">
        <v>1695</v>
      </c>
      <c r="K7" s="13" t="s">
        <v>1696</v>
      </c>
      <c r="L7" s="15">
        <f t="shared" si="3"/>
        <v>1.8877314814814861E-2</v>
      </c>
      <c r="M7">
        <f t="shared" si="4"/>
        <v>11</v>
      </c>
      <c r="O7">
        <v>5</v>
      </c>
      <c r="P7">
        <f>COUNTIF(M:M,"5")</f>
        <v>5</v>
      </c>
      <c r="Q7">
        <f t="shared" si="0"/>
        <v>3.0416666666666665</v>
      </c>
      <c r="R7" s="15">
        <f t="shared" si="1"/>
        <v>1.5967592592592599E-2</v>
      </c>
      <c r="S7" s="15">
        <f t="shared" si="2"/>
        <v>1.8385615369442134E-2</v>
      </c>
    </row>
    <row r="8" spans="1:19" x14ac:dyDescent="0.3">
      <c r="A8" s="1"/>
      <c r="B8" s="1"/>
      <c r="C8" s="1"/>
      <c r="D8" s="1"/>
      <c r="E8" s="1"/>
      <c r="F8" s="1"/>
      <c r="G8" s="9" t="s">
        <v>1697</v>
      </c>
      <c r="H8" s="9" t="s">
        <v>24</v>
      </c>
      <c r="I8" s="9" t="s">
        <v>1688</v>
      </c>
      <c r="J8" s="3" t="s">
        <v>1698</v>
      </c>
      <c r="K8" s="13" t="s">
        <v>1699</v>
      </c>
      <c r="L8" s="15">
        <f t="shared" si="3"/>
        <v>1.7708333333333326E-2</v>
      </c>
      <c r="M8">
        <f t="shared" si="4"/>
        <v>13</v>
      </c>
      <c r="O8">
        <v>6</v>
      </c>
      <c r="P8">
        <f>COUNTIF(M:M,"6")</f>
        <v>5</v>
      </c>
      <c r="Q8">
        <f t="shared" si="0"/>
        <v>3.0416666666666665</v>
      </c>
      <c r="R8" s="15">
        <f t="shared" si="1"/>
        <v>1.6902777777777787E-2</v>
      </c>
      <c r="S8" s="15">
        <f t="shared" si="2"/>
        <v>1.8385615369442134E-2</v>
      </c>
    </row>
    <row r="9" spans="1:19" x14ac:dyDescent="0.3">
      <c r="A9" s="1"/>
      <c r="B9" s="1"/>
      <c r="C9" s="9" t="s">
        <v>1700</v>
      </c>
      <c r="D9" s="9" t="s">
        <v>1701</v>
      </c>
      <c r="E9" s="9" t="s">
        <v>1701</v>
      </c>
      <c r="F9" s="9" t="s">
        <v>22</v>
      </c>
      <c r="G9" s="11" t="s">
        <v>19</v>
      </c>
      <c r="H9" s="2"/>
      <c r="I9" s="7"/>
      <c r="J9" s="4"/>
      <c r="K9" s="12"/>
      <c r="O9">
        <v>7</v>
      </c>
      <c r="P9">
        <f>COUNTIF(M:M,"7")</f>
        <v>7</v>
      </c>
      <c r="Q9">
        <f t="shared" si="0"/>
        <v>3.0416666666666665</v>
      </c>
      <c r="R9" s="15">
        <f t="shared" si="1"/>
        <v>2.1726190476190472E-2</v>
      </c>
      <c r="S9" s="15">
        <f t="shared" si="2"/>
        <v>1.8385615369442134E-2</v>
      </c>
    </row>
    <row r="10" spans="1:19" x14ac:dyDescent="0.3">
      <c r="A10" s="1"/>
      <c r="B10" s="1"/>
      <c r="C10" s="1"/>
      <c r="D10" s="1"/>
      <c r="E10" s="1"/>
      <c r="F10" s="1"/>
      <c r="G10" s="9" t="s">
        <v>1702</v>
      </c>
      <c r="H10" s="9" t="s">
        <v>24</v>
      </c>
      <c r="I10" s="9" t="s">
        <v>1688</v>
      </c>
      <c r="J10" s="3" t="s">
        <v>1703</v>
      </c>
      <c r="K10" s="13" t="s">
        <v>1704</v>
      </c>
      <c r="L10" s="15">
        <f t="shared" si="3"/>
        <v>2.1527777777777757E-2</v>
      </c>
      <c r="M10">
        <f t="shared" si="4"/>
        <v>7</v>
      </c>
      <c r="O10">
        <v>8</v>
      </c>
      <c r="P10">
        <f>COUNTIF(M:M,"8")</f>
        <v>10</v>
      </c>
      <c r="Q10">
        <f t="shared" si="0"/>
        <v>3.0416666666666665</v>
      </c>
      <c r="R10" s="15">
        <f t="shared" si="1"/>
        <v>2.9518518518518506E-2</v>
      </c>
      <c r="S10" s="15">
        <f t="shared" si="2"/>
        <v>1.8385615369442134E-2</v>
      </c>
    </row>
    <row r="11" spans="1:19" x14ac:dyDescent="0.3">
      <c r="A11" s="1"/>
      <c r="B11" s="1"/>
      <c r="C11" s="1"/>
      <c r="D11" s="1"/>
      <c r="E11" s="1"/>
      <c r="F11" s="1"/>
      <c r="G11" s="9" t="s">
        <v>1705</v>
      </c>
      <c r="H11" s="9" t="s">
        <v>24</v>
      </c>
      <c r="I11" s="9" t="s">
        <v>1688</v>
      </c>
      <c r="J11" s="3" t="s">
        <v>1706</v>
      </c>
      <c r="K11" s="13" t="s">
        <v>533</v>
      </c>
      <c r="L11" s="15">
        <f t="shared" si="3"/>
        <v>2.7083333333333348E-2</v>
      </c>
      <c r="M11">
        <f t="shared" si="4"/>
        <v>7</v>
      </c>
      <c r="O11">
        <v>9</v>
      </c>
      <c r="P11">
        <f>COUNTIF(M:M,"9")</f>
        <v>7</v>
      </c>
      <c r="Q11">
        <f t="shared" si="0"/>
        <v>3.0416666666666665</v>
      </c>
      <c r="R11" s="15">
        <f t="shared" si="1"/>
        <v>2.2488425925925908E-2</v>
      </c>
      <c r="S11" s="15">
        <f t="shared" si="2"/>
        <v>1.8385615369442134E-2</v>
      </c>
    </row>
    <row r="12" spans="1:19" x14ac:dyDescent="0.3">
      <c r="A12" s="1"/>
      <c r="B12" s="1"/>
      <c r="C12" s="9" t="s">
        <v>177</v>
      </c>
      <c r="D12" s="9" t="s">
        <v>178</v>
      </c>
      <c r="E12" s="9" t="s">
        <v>178</v>
      </c>
      <c r="F12" s="9" t="s">
        <v>22</v>
      </c>
      <c r="G12" s="9" t="s">
        <v>1707</v>
      </c>
      <c r="H12" s="9" t="s">
        <v>39</v>
      </c>
      <c r="I12" s="9" t="s">
        <v>1688</v>
      </c>
      <c r="J12" s="3" t="s">
        <v>1708</v>
      </c>
      <c r="K12" s="13" t="s">
        <v>1709</v>
      </c>
      <c r="L12" s="15">
        <f t="shared" si="3"/>
        <v>1.9861111111111218E-2</v>
      </c>
      <c r="M12">
        <f t="shared" si="4"/>
        <v>21</v>
      </c>
      <c r="O12">
        <v>10</v>
      </c>
      <c r="P12">
        <f>COUNTIF(M:M,"10")</f>
        <v>6</v>
      </c>
      <c r="Q12">
        <f t="shared" si="0"/>
        <v>3.0416666666666665</v>
      </c>
      <c r="R12" s="15">
        <f t="shared" si="1"/>
        <v>1.9998070987654326E-2</v>
      </c>
      <c r="S12" s="15">
        <f t="shared" si="2"/>
        <v>1.8385615369442134E-2</v>
      </c>
    </row>
    <row r="13" spans="1:19" x14ac:dyDescent="0.3">
      <c r="A13" s="1"/>
      <c r="B13" s="1"/>
      <c r="C13" s="9" t="s">
        <v>47</v>
      </c>
      <c r="D13" s="9" t="s">
        <v>48</v>
      </c>
      <c r="E13" s="9" t="s">
        <v>48</v>
      </c>
      <c r="F13" s="9" t="s">
        <v>22</v>
      </c>
      <c r="G13" s="11" t="s">
        <v>19</v>
      </c>
      <c r="H13" s="2"/>
      <c r="I13" s="7"/>
      <c r="J13" s="4"/>
      <c r="K13" s="12"/>
      <c r="O13">
        <v>11</v>
      </c>
      <c r="P13">
        <f>COUNTIF(M:M,"11")</f>
        <v>3</v>
      </c>
      <c r="Q13">
        <f t="shared" si="0"/>
        <v>3.0416666666666665</v>
      </c>
      <c r="R13" s="15">
        <f t="shared" si="1"/>
        <v>1.8645833333333344E-2</v>
      </c>
      <c r="S13" s="15">
        <f t="shared" si="2"/>
        <v>1.8385615369442134E-2</v>
      </c>
    </row>
    <row r="14" spans="1:19" x14ac:dyDescent="0.3">
      <c r="A14" s="1"/>
      <c r="B14" s="1"/>
      <c r="C14" s="1"/>
      <c r="D14" s="1"/>
      <c r="E14" s="1"/>
      <c r="F14" s="1"/>
      <c r="G14" s="9" t="s">
        <v>1710</v>
      </c>
      <c r="H14" s="9" t="s">
        <v>39</v>
      </c>
      <c r="I14" s="9" t="s">
        <v>1688</v>
      </c>
      <c r="J14" s="3" t="s">
        <v>1711</v>
      </c>
      <c r="K14" s="13" t="s">
        <v>1712</v>
      </c>
      <c r="L14" s="15">
        <f t="shared" si="3"/>
        <v>2.3611111111111138E-2</v>
      </c>
      <c r="M14">
        <f t="shared" si="4"/>
        <v>8</v>
      </c>
      <c r="O14">
        <v>12</v>
      </c>
      <c r="P14">
        <f>COUNTIF(M:M,"12")</f>
        <v>5</v>
      </c>
      <c r="Q14">
        <f t="shared" si="0"/>
        <v>3.0416666666666665</v>
      </c>
      <c r="R14" s="15">
        <f t="shared" si="1"/>
        <v>2.0289351851851812E-2</v>
      </c>
      <c r="S14" s="15">
        <f t="shared" si="2"/>
        <v>1.8385615369442134E-2</v>
      </c>
    </row>
    <row r="15" spans="1:19" x14ac:dyDescent="0.3">
      <c r="A15" s="1"/>
      <c r="B15" s="1"/>
      <c r="C15" s="1"/>
      <c r="D15" s="1"/>
      <c r="E15" s="1"/>
      <c r="F15" s="1"/>
      <c r="G15" s="9" t="s">
        <v>1713</v>
      </c>
      <c r="H15" s="9" t="s">
        <v>39</v>
      </c>
      <c r="I15" s="9" t="s">
        <v>1688</v>
      </c>
      <c r="J15" s="3" t="s">
        <v>1714</v>
      </c>
      <c r="K15" s="13" t="s">
        <v>1715</v>
      </c>
      <c r="L15" s="15">
        <f t="shared" si="3"/>
        <v>2.5347222222222188E-2</v>
      </c>
      <c r="M15">
        <f t="shared" si="4"/>
        <v>12</v>
      </c>
      <c r="O15">
        <v>13</v>
      </c>
      <c r="P15">
        <f>COUNTIF(M:M,"13")</f>
        <v>2</v>
      </c>
      <c r="Q15">
        <f t="shared" si="0"/>
        <v>3.0416666666666665</v>
      </c>
      <c r="R15" s="15">
        <f t="shared" si="1"/>
        <v>1.5868055555555594E-2</v>
      </c>
      <c r="S15" s="15">
        <f t="shared" si="2"/>
        <v>1.8385615369442134E-2</v>
      </c>
    </row>
    <row r="16" spans="1:19" x14ac:dyDescent="0.3">
      <c r="A16" s="9" t="s">
        <v>63</v>
      </c>
      <c r="B16" s="9" t="s">
        <v>64</v>
      </c>
      <c r="C16" s="11" t="s">
        <v>19</v>
      </c>
      <c r="D16" s="2"/>
      <c r="E16" s="2"/>
      <c r="F16" s="2"/>
      <c r="G16" s="2"/>
      <c r="H16" s="2"/>
      <c r="I16" s="7"/>
      <c r="J16" s="4"/>
      <c r="K16" s="12"/>
      <c r="O16">
        <v>14</v>
      </c>
      <c r="P16">
        <f>COUNTIF(M:M,"14")</f>
        <v>5</v>
      </c>
      <c r="Q16">
        <f t="shared" si="0"/>
        <v>3.0416666666666665</v>
      </c>
      <c r="R16" s="15">
        <f t="shared" si="1"/>
        <v>1.7611111111111133E-2</v>
      </c>
      <c r="S16" s="15">
        <f t="shared" si="2"/>
        <v>1.8385615369442134E-2</v>
      </c>
    </row>
    <row r="17" spans="1:19" x14ac:dyDescent="0.3">
      <c r="A17" s="1"/>
      <c r="B17" s="1"/>
      <c r="C17" s="9" t="s">
        <v>923</v>
      </c>
      <c r="D17" s="9" t="s">
        <v>924</v>
      </c>
      <c r="E17" s="9" t="s">
        <v>924</v>
      </c>
      <c r="F17" s="9" t="s">
        <v>22</v>
      </c>
      <c r="G17" s="9" t="s">
        <v>1716</v>
      </c>
      <c r="H17" s="9" t="s">
        <v>39</v>
      </c>
      <c r="I17" s="9" t="s">
        <v>1688</v>
      </c>
      <c r="J17" s="3" t="s">
        <v>1717</v>
      </c>
      <c r="K17" s="13" t="s">
        <v>1718</v>
      </c>
      <c r="L17" s="15">
        <f t="shared" si="3"/>
        <v>2.3275462962962956E-2</v>
      </c>
      <c r="M17">
        <f t="shared" si="4"/>
        <v>9</v>
      </c>
      <c r="O17">
        <v>15</v>
      </c>
      <c r="P17">
        <f>COUNTIF(M:M,"15")</f>
        <v>4</v>
      </c>
      <c r="Q17">
        <f t="shared" si="0"/>
        <v>3.0416666666666665</v>
      </c>
      <c r="R17" s="15">
        <f t="shared" si="1"/>
        <v>3.191261574074078E-2</v>
      </c>
      <c r="S17" s="15">
        <f t="shared" si="2"/>
        <v>1.8385615369442134E-2</v>
      </c>
    </row>
    <row r="18" spans="1:19" x14ac:dyDescent="0.3">
      <c r="A18" s="1"/>
      <c r="B18" s="1"/>
      <c r="C18" s="9" t="s">
        <v>20</v>
      </c>
      <c r="D18" s="9" t="s">
        <v>21</v>
      </c>
      <c r="E18" s="9" t="s">
        <v>21</v>
      </c>
      <c r="F18" s="9" t="s">
        <v>22</v>
      </c>
      <c r="G18" s="9" t="s">
        <v>1719</v>
      </c>
      <c r="H18" s="9" t="s">
        <v>39</v>
      </c>
      <c r="I18" s="9" t="s">
        <v>1688</v>
      </c>
      <c r="J18" s="3" t="s">
        <v>1720</v>
      </c>
      <c r="K18" s="13" t="s">
        <v>1721</v>
      </c>
      <c r="L18" s="15">
        <f t="shared" si="3"/>
        <v>2.0138888888888817E-2</v>
      </c>
      <c r="M18">
        <f t="shared" si="4"/>
        <v>7</v>
      </c>
      <c r="O18">
        <v>16</v>
      </c>
      <c r="P18">
        <f>COUNTIF(M:M,"16")</f>
        <v>1</v>
      </c>
      <c r="Q18">
        <f t="shared" si="0"/>
        <v>3.0416666666666665</v>
      </c>
      <c r="R18" s="15">
        <f t="shared" si="1"/>
        <v>1.5613425925925961E-2</v>
      </c>
      <c r="S18" s="15">
        <f t="shared" si="2"/>
        <v>1.8385615369442134E-2</v>
      </c>
    </row>
    <row r="19" spans="1:19" x14ac:dyDescent="0.3">
      <c r="A19" s="1"/>
      <c r="B19" s="1"/>
      <c r="C19" s="9" t="s">
        <v>93</v>
      </c>
      <c r="D19" s="9" t="s">
        <v>94</v>
      </c>
      <c r="E19" s="9" t="s">
        <v>94</v>
      </c>
      <c r="F19" s="9" t="s">
        <v>22</v>
      </c>
      <c r="G19" s="11" t="s">
        <v>19</v>
      </c>
      <c r="H19" s="2"/>
      <c r="I19" s="7"/>
      <c r="J19" s="4"/>
      <c r="K19" s="12"/>
      <c r="O19">
        <v>17</v>
      </c>
      <c r="P19">
        <f>COUNTIF(M:M,"17")</f>
        <v>1</v>
      </c>
      <c r="Q19">
        <f t="shared" si="0"/>
        <v>3.0416666666666665</v>
      </c>
      <c r="R19" s="15">
        <f t="shared" si="1"/>
        <v>1.3333333333333419E-2</v>
      </c>
      <c r="S19" s="15">
        <f t="shared" si="2"/>
        <v>1.8385615369442134E-2</v>
      </c>
    </row>
    <row r="20" spans="1:19" x14ac:dyDescent="0.3">
      <c r="A20" s="1"/>
      <c r="B20" s="1"/>
      <c r="C20" s="1"/>
      <c r="D20" s="1"/>
      <c r="E20" s="1"/>
      <c r="F20" s="1"/>
      <c r="G20" s="9" t="s">
        <v>1722</v>
      </c>
      <c r="H20" s="9" t="s">
        <v>39</v>
      </c>
      <c r="I20" s="9" t="s">
        <v>1688</v>
      </c>
      <c r="J20" s="3" t="s">
        <v>1723</v>
      </c>
      <c r="K20" s="13" t="s">
        <v>1724</v>
      </c>
      <c r="L20" s="15">
        <f t="shared" si="3"/>
        <v>1.4027777777777778E-2</v>
      </c>
      <c r="M20">
        <f t="shared" si="4"/>
        <v>4</v>
      </c>
      <c r="O20">
        <v>18</v>
      </c>
      <c r="P20">
        <f>COUNTIF(M:M,"18")</f>
        <v>0</v>
      </c>
      <c r="Q20">
        <f t="shared" si="0"/>
        <v>3.0416666666666665</v>
      </c>
      <c r="R20" s="15">
        <v>0</v>
      </c>
      <c r="S20" s="15">
        <f t="shared" si="2"/>
        <v>1.8385615369442134E-2</v>
      </c>
    </row>
    <row r="21" spans="1:19" x14ac:dyDescent="0.3">
      <c r="A21" s="1"/>
      <c r="B21" s="1"/>
      <c r="C21" s="1"/>
      <c r="D21" s="1"/>
      <c r="E21" s="1"/>
      <c r="F21" s="1"/>
      <c r="G21" s="9" t="s">
        <v>1725</v>
      </c>
      <c r="H21" s="9" t="s">
        <v>39</v>
      </c>
      <c r="I21" s="9" t="s">
        <v>1688</v>
      </c>
      <c r="J21" s="3" t="s">
        <v>1721</v>
      </c>
      <c r="K21" s="13" t="s">
        <v>1726</v>
      </c>
      <c r="L21" s="15">
        <f t="shared" si="3"/>
        <v>2.7083333333333348E-2</v>
      </c>
      <c r="M21">
        <f t="shared" si="4"/>
        <v>8</v>
      </c>
      <c r="O21">
        <v>19</v>
      </c>
      <c r="P21">
        <f>COUNTIF(M:M,"19")</f>
        <v>0</v>
      </c>
      <c r="Q21">
        <f t="shared" si="0"/>
        <v>3.0416666666666665</v>
      </c>
      <c r="R21" s="15">
        <v>0</v>
      </c>
      <c r="S21" s="15">
        <f t="shared" si="2"/>
        <v>1.8385615369442134E-2</v>
      </c>
    </row>
    <row r="22" spans="1:19" x14ac:dyDescent="0.3">
      <c r="A22" s="1"/>
      <c r="B22" s="1"/>
      <c r="C22" s="9" t="s">
        <v>1700</v>
      </c>
      <c r="D22" s="9" t="s">
        <v>1701</v>
      </c>
      <c r="E22" s="9" t="s">
        <v>1701</v>
      </c>
      <c r="F22" s="9" t="s">
        <v>22</v>
      </c>
      <c r="G22" s="9" t="s">
        <v>1727</v>
      </c>
      <c r="H22" s="9" t="s">
        <v>24</v>
      </c>
      <c r="I22" s="9" t="s">
        <v>1688</v>
      </c>
      <c r="J22" s="3" t="s">
        <v>1728</v>
      </c>
      <c r="K22" s="13" t="s">
        <v>1729</v>
      </c>
      <c r="L22" s="15">
        <f t="shared" si="3"/>
        <v>1.6967592592592617E-2</v>
      </c>
      <c r="M22">
        <f t="shared" si="4"/>
        <v>14</v>
      </c>
      <c r="O22">
        <v>20</v>
      </c>
      <c r="P22">
        <f>COUNTIF(M:M,"20")</f>
        <v>0</v>
      </c>
      <c r="Q22">
        <f t="shared" si="0"/>
        <v>3.0416666666666665</v>
      </c>
      <c r="R22" s="15">
        <v>0</v>
      </c>
      <c r="S22" s="15">
        <f t="shared" si="2"/>
        <v>1.8385615369442134E-2</v>
      </c>
    </row>
    <row r="23" spans="1:19" x14ac:dyDescent="0.3">
      <c r="A23" s="1"/>
      <c r="B23" s="1"/>
      <c r="C23" s="9" t="s">
        <v>36</v>
      </c>
      <c r="D23" s="9" t="s">
        <v>37</v>
      </c>
      <c r="E23" s="9" t="s">
        <v>37</v>
      </c>
      <c r="F23" s="9" t="s">
        <v>22</v>
      </c>
      <c r="G23" s="9" t="s">
        <v>1730</v>
      </c>
      <c r="H23" s="9" t="s">
        <v>39</v>
      </c>
      <c r="I23" s="9" t="s">
        <v>1688</v>
      </c>
      <c r="J23" s="3" t="s">
        <v>1731</v>
      </c>
      <c r="K23" s="13" t="s">
        <v>1732</v>
      </c>
      <c r="L23" s="15">
        <f t="shared" si="3"/>
        <v>1.5439814814814823E-2</v>
      </c>
      <c r="M23">
        <f t="shared" si="4"/>
        <v>6</v>
      </c>
      <c r="O23">
        <v>21</v>
      </c>
      <c r="P23">
        <f>COUNTIF(M:M,"21")</f>
        <v>2</v>
      </c>
      <c r="Q23">
        <f t="shared" si="0"/>
        <v>3.0416666666666665</v>
      </c>
      <c r="R23" s="15">
        <f t="shared" si="1"/>
        <v>1.6672453703703682E-2</v>
      </c>
      <c r="S23" s="15">
        <f t="shared" si="2"/>
        <v>1.8385615369442134E-2</v>
      </c>
    </row>
    <row r="24" spans="1:19" x14ac:dyDescent="0.3">
      <c r="A24" s="9" t="s">
        <v>114</v>
      </c>
      <c r="B24" s="9" t="s">
        <v>115</v>
      </c>
      <c r="C24" s="11" t="s">
        <v>19</v>
      </c>
      <c r="D24" s="2"/>
      <c r="E24" s="2"/>
      <c r="F24" s="2"/>
      <c r="G24" s="2"/>
      <c r="H24" s="2"/>
      <c r="I24" s="7"/>
      <c r="J24" s="4"/>
      <c r="K24" s="12"/>
      <c r="O24">
        <v>22</v>
      </c>
      <c r="P24">
        <f>COUNTIF(M:M,"22")</f>
        <v>1</v>
      </c>
      <c r="Q24">
        <f t="shared" si="0"/>
        <v>3.0416666666666665</v>
      </c>
      <c r="R24" s="15">
        <f t="shared" si="1"/>
        <v>1.3576388888888902E-2</v>
      </c>
      <c r="S24" s="15">
        <f t="shared" si="2"/>
        <v>1.8385615369442134E-2</v>
      </c>
    </row>
    <row r="25" spans="1:19" x14ac:dyDescent="0.3">
      <c r="A25" s="1"/>
      <c r="B25" s="1"/>
      <c r="C25" s="9" t="s">
        <v>116</v>
      </c>
      <c r="D25" s="9" t="s">
        <v>117</v>
      </c>
      <c r="E25" s="11" t="s">
        <v>19</v>
      </c>
      <c r="F25" s="2"/>
      <c r="G25" s="2"/>
      <c r="H25" s="2"/>
      <c r="I25" s="7"/>
      <c r="J25" s="4"/>
      <c r="K25" s="12"/>
      <c r="O25">
        <v>23</v>
      </c>
      <c r="P25">
        <f>COUNTIF(M:M,"23")</f>
        <v>0</v>
      </c>
      <c r="Q25">
        <f t="shared" si="0"/>
        <v>3.0416666666666665</v>
      </c>
      <c r="R25" s="15">
        <v>0</v>
      </c>
      <c r="S25" s="15">
        <f t="shared" si="2"/>
        <v>1.8385615369442134E-2</v>
      </c>
    </row>
    <row r="26" spans="1:19" x14ac:dyDescent="0.3">
      <c r="A26" s="1"/>
      <c r="B26" s="1"/>
      <c r="C26" s="1"/>
      <c r="D26" s="1"/>
      <c r="E26" s="9" t="s">
        <v>117</v>
      </c>
      <c r="F26" s="9" t="s">
        <v>22</v>
      </c>
      <c r="G26" s="11" t="s">
        <v>19</v>
      </c>
      <c r="H26" s="2"/>
      <c r="I26" s="7"/>
      <c r="J26" s="4"/>
      <c r="K26" s="12"/>
    </row>
    <row r="27" spans="1:19" x14ac:dyDescent="0.3">
      <c r="A27" s="1"/>
      <c r="B27" s="1"/>
      <c r="C27" s="1"/>
      <c r="D27" s="1"/>
      <c r="E27" s="1"/>
      <c r="F27" s="1"/>
      <c r="G27" s="9" t="s">
        <v>1733</v>
      </c>
      <c r="H27" s="9" t="s">
        <v>119</v>
      </c>
      <c r="I27" s="9" t="s">
        <v>1688</v>
      </c>
      <c r="J27" s="3" t="s">
        <v>1734</v>
      </c>
      <c r="K27" s="13" t="s">
        <v>1735</v>
      </c>
      <c r="L27" s="15">
        <f t="shared" si="3"/>
        <v>1.8796296296296297E-2</v>
      </c>
      <c r="M27">
        <f t="shared" si="4"/>
        <v>2</v>
      </c>
    </row>
    <row r="28" spans="1:19" x14ac:dyDescent="0.3">
      <c r="A28" s="1"/>
      <c r="B28" s="1"/>
      <c r="C28" s="1"/>
      <c r="D28" s="1"/>
      <c r="E28" s="1"/>
      <c r="F28" s="1"/>
      <c r="G28" s="9" t="s">
        <v>1736</v>
      </c>
      <c r="H28" s="9" t="s">
        <v>119</v>
      </c>
      <c r="I28" s="9" t="s">
        <v>1688</v>
      </c>
      <c r="J28" s="3" t="s">
        <v>1737</v>
      </c>
      <c r="K28" s="13" t="s">
        <v>1738</v>
      </c>
      <c r="L28" s="15">
        <f t="shared" si="3"/>
        <v>2.3310185185185239E-2</v>
      </c>
      <c r="M28">
        <f t="shared" si="4"/>
        <v>6</v>
      </c>
    </row>
    <row r="29" spans="1:19" x14ac:dyDescent="0.3">
      <c r="A29" s="1"/>
      <c r="B29" s="1"/>
      <c r="C29" s="1"/>
      <c r="D29" s="1"/>
      <c r="E29" s="1"/>
      <c r="F29" s="1"/>
      <c r="G29" s="9" t="s">
        <v>1739</v>
      </c>
      <c r="H29" s="9" t="s">
        <v>119</v>
      </c>
      <c r="I29" s="9" t="s">
        <v>1688</v>
      </c>
      <c r="J29" s="3" t="s">
        <v>1674</v>
      </c>
      <c r="K29" s="13" t="s">
        <v>1740</v>
      </c>
      <c r="L29" s="15">
        <f t="shared" si="3"/>
        <v>9.7222222222222432E-3</v>
      </c>
      <c r="M29">
        <f t="shared" si="4"/>
        <v>7</v>
      </c>
    </row>
    <row r="30" spans="1:19" x14ac:dyDescent="0.3">
      <c r="A30" s="1"/>
      <c r="B30" s="1"/>
      <c r="C30" s="1"/>
      <c r="D30" s="1"/>
      <c r="E30" s="1"/>
      <c r="F30" s="1"/>
      <c r="G30" s="9" t="s">
        <v>1741</v>
      </c>
      <c r="H30" s="9" t="s">
        <v>119</v>
      </c>
      <c r="I30" s="9" t="s">
        <v>1688</v>
      </c>
      <c r="J30" s="3" t="s">
        <v>1742</v>
      </c>
      <c r="K30" s="13" t="s">
        <v>1743</v>
      </c>
      <c r="L30" s="15">
        <f t="shared" si="3"/>
        <v>1.930555555555552E-2</v>
      </c>
      <c r="M30">
        <f t="shared" si="4"/>
        <v>9</v>
      </c>
    </row>
    <row r="31" spans="1:19" x14ac:dyDescent="0.3">
      <c r="A31" s="1"/>
      <c r="B31" s="1"/>
      <c r="C31" s="1"/>
      <c r="D31" s="1"/>
      <c r="E31" s="1"/>
      <c r="F31" s="1"/>
      <c r="G31" s="9" t="s">
        <v>1744</v>
      </c>
      <c r="H31" s="9" t="s">
        <v>119</v>
      </c>
      <c r="I31" s="9" t="s">
        <v>1688</v>
      </c>
      <c r="J31" s="3" t="s">
        <v>1745</v>
      </c>
      <c r="K31" s="13" t="s">
        <v>1746</v>
      </c>
      <c r="L31" s="15">
        <f t="shared" si="3"/>
        <v>1.7372685185185199E-2</v>
      </c>
      <c r="M31">
        <f t="shared" si="4"/>
        <v>10</v>
      </c>
    </row>
    <row r="32" spans="1:19" x14ac:dyDescent="0.3">
      <c r="A32" s="1"/>
      <c r="B32" s="1"/>
      <c r="C32" s="1"/>
      <c r="D32" s="1"/>
      <c r="E32" s="1"/>
      <c r="F32" s="1"/>
      <c r="G32" s="9" t="s">
        <v>1747</v>
      </c>
      <c r="H32" s="9" t="s">
        <v>119</v>
      </c>
      <c r="I32" s="9" t="s">
        <v>1688</v>
      </c>
      <c r="J32" s="3" t="s">
        <v>1748</v>
      </c>
      <c r="K32" s="13" t="s">
        <v>1749</v>
      </c>
      <c r="L32" s="15">
        <f t="shared" si="3"/>
        <v>2.1956018518518472E-2</v>
      </c>
      <c r="M32">
        <f t="shared" si="4"/>
        <v>12</v>
      </c>
    </row>
    <row r="33" spans="1:13" x14ac:dyDescent="0.3">
      <c r="A33" s="1"/>
      <c r="B33" s="1"/>
      <c r="C33" s="1"/>
      <c r="D33" s="1"/>
      <c r="E33" s="1"/>
      <c r="F33" s="1"/>
      <c r="G33" s="9" t="s">
        <v>1750</v>
      </c>
      <c r="H33" s="9" t="s">
        <v>119</v>
      </c>
      <c r="I33" s="9" t="s">
        <v>1688</v>
      </c>
      <c r="J33" s="3" t="s">
        <v>1751</v>
      </c>
      <c r="K33" s="13" t="s">
        <v>1752</v>
      </c>
      <c r="L33" s="15">
        <f t="shared" si="3"/>
        <v>1.7777777777777892E-2</v>
      </c>
      <c r="M33">
        <f t="shared" si="4"/>
        <v>14</v>
      </c>
    </row>
    <row r="34" spans="1:13" x14ac:dyDescent="0.3">
      <c r="A34" s="1"/>
      <c r="B34" s="1"/>
      <c r="C34" s="1"/>
      <c r="D34" s="1"/>
      <c r="E34" s="9" t="s">
        <v>125</v>
      </c>
      <c r="F34" s="9" t="s">
        <v>22</v>
      </c>
      <c r="G34" s="11" t="s">
        <v>19</v>
      </c>
      <c r="H34" s="2"/>
      <c r="I34" s="7"/>
      <c r="J34" s="4"/>
      <c r="K34" s="12"/>
    </row>
    <row r="35" spans="1:13" x14ac:dyDescent="0.3">
      <c r="A35" s="1"/>
      <c r="B35" s="1"/>
      <c r="C35" s="1"/>
      <c r="D35" s="1"/>
      <c r="E35" s="1"/>
      <c r="F35" s="1"/>
      <c r="G35" s="9" t="s">
        <v>1753</v>
      </c>
      <c r="H35" s="9" t="s">
        <v>127</v>
      </c>
      <c r="I35" s="9" t="s">
        <v>1688</v>
      </c>
      <c r="J35" s="3" t="s">
        <v>1754</v>
      </c>
      <c r="K35" s="13" t="s">
        <v>1755</v>
      </c>
      <c r="L35" s="15">
        <f t="shared" si="3"/>
        <v>1.4398148148148153E-2</v>
      </c>
      <c r="M35">
        <f t="shared" si="4"/>
        <v>1</v>
      </c>
    </row>
    <row r="36" spans="1:13" x14ac:dyDescent="0.3">
      <c r="A36" s="1"/>
      <c r="B36" s="1"/>
      <c r="C36" s="1"/>
      <c r="D36" s="1"/>
      <c r="E36" s="1"/>
      <c r="F36" s="1"/>
      <c r="G36" s="9" t="s">
        <v>1756</v>
      </c>
      <c r="H36" s="9" t="s">
        <v>127</v>
      </c>
      <c r="I36" s="9" t="s">
        <v>1688</v>
      </c>
      <c r="J36" s="3" t="s">
        <v>1757</v>
      </c>
      <c r="K36" s="13" t="s">
        <v>1758</v>
      </c>
      <c r="L36" s="15">
        <f t="shared" si="3"/>
        <v>1.6840277777777746E-2</v>
      </c>
      <c r="M36">
        <f t="shared" si="4"/>
        <v>9</v>
      </c>
    </row>
    <row r="37" spans="1:13" x14ac:dyDescent="0.3">
      <c r="A37" s="1"/>
      <c r="B37" s="1"/>
      <c r="C37" s="9" t="s">
        <v>147</v>
      </c>
      <c r="D37" s="9" t="s">
        <v>148</v>
      </c>
      <c r="E37" s="9" t="s">
        <v>149</v>
      </c>
      <c r="F37" s="9" t="s">
        <v>22</v>
      </c>
      <c r="G37" s="11" t="s">
        <v>19</v>
      </c>
      <c r="H37" s="2"/>
      <c r="I37" s="7"/>
      <c r="J37" s="4"/>
      <c r="K37" s="12"/>
    </row>
    <row r="38" spans="1:13" x14ac:dyDescent="0.3">
      <c r="A38" s="1"/>
      <c r="B38" s="1"/>
      <c r="C38" s="1"/>
      <c r="D38" s="1"/>
      <c r="E38" s="1"/>
      <c r="F38" s="1"/>
      <c r="G38" s="9" t="s">
        <v>1759</v>
      </c>
      <c r="H38" s="9" t="s">
        <v>127</v>
      </c>
      <c r="I38" s="9" t="s">
        <v>1688</v>
      </c>
      <c r="J38" s="3" t="s">
        <v>1760</v>
      </c>
      <c r="K38" s="13" t="s">
        <v>1761</v>
      </c>
      <c r="L38" s="15">
        <f t="shared" si="3"/>
        <v>1.5150462962962963E-2</v>
      </c>
      <c r="M38">
        <f t="shared" si="4"/>
        <v>11</v>
      </c>
    </row>
    <row r="39" spans="1:13" x14ac:dyDescent="0.3">
      <c r="A39" s="1"/>
      <c r="B39" s="1"/>
      <c r="C39" s="1"/>
      <c r="D39" s="1"/>
      <c r="E39" s="1"/>
      <c r="F39" s="1"/>
      <c r="G39" s="9" t="s">
        <v>1762</v>
      </c>
      <c r="H39" s="9" t="s">
        <v>127</v>
      </c>
      <c r="I39" s="9" t="s">
        <v>1688</v>
      </c>
      <c r="J39" s="3" t="s">
        <v>1763</v>
      </c>
      <c r="K39" s="13" t="s">
        <v>1764</v>
      </c>
      <c r="L39" s="15">
        <f t="shared" si="3"/>
        <v>1.5613425925925961E-2</v>
      </c>
      <c r="M39">
        <f t="shared" si="4"/>
        <v>16</v>
      </c>
    </row>
    <row r="40" spans="1:13" x14ac:dyDescent="0.3">
      <c r="A40" s="1"/>
      <c r="B40" s="1"/>
      <c r="C40" s="9" t="s">
        <v>322</v>
      </c>
      <c r="D40" s="9" t="s">
        <v>323</v>
      </c>
      <c r="E40" s="9" t="s">
        <v>1015</v>
      </c>
      <c r="F40" s="9" t="s">
        <v>22</v>
      </c>
      <c r="G40" s="11" t="s">
        <v>19</v>
      </c>
      <c r="H40" s="2"/>
      <c r="I40" s="7"/>
      <c r="J40" s="4"/>
      <c r="K40" s="12"/>
    </row>
    <row r="41" spans="1:13" x14ac:dyDescent="0.3">
      <c r="A41" s="1"/>
      <c r="B41" s="1"/>
      <c r="C41" s="1"/>
      <c r="D41" s="1"/>
      <c r="E41" s="1"/>
      <c r="F41" s="1"/>
      <c r="G41" s="9" t="s">
        <v>1765</v>
      </c>
      <c r="H41" s="9" t="s">
        <v>127</v>
      </c>
      <c r="I41" s="9" t="s">
        <v>1688</v>
      </c>
      <c r="J41" s="3" t="s">
        <v>1766</v>
      </c>
      <c r="K41" s="13" t="s">
        <v>1767</v>
      </c>
      <c r="L41" s="15">
        <f t="shared" si="3"/>
        <v>1.9293981481481481E-2</v>
      </c>
      <c r="M41">
        <f t="shared" si="4"/>
        <v>6</v>
      </c>
    </row>
    <row r="42" spans="1:13" x14ac:dyDescent="0.3">
      <c r="A42" s="1"/>
      <c r="B42" s="1"/>
      <c r="C42" s="1"/>
      <c r="D42" s="1"/>
      <c r="E42" s="1"/>
      <c r="F42" s="1"/>
      <c r="G42" s="9" t="s">
        <v>1768</v>
      </c>
      <c r="H42" s="9" t="s">
        <v>127</v>
      </c>
      <c r="I42" s="9" t="s">
        <v>1688</v>
      </c>
      <c r="J42" s="3" t="s">
        <v>1769</v>
      </c>
      <c r="K42" s="13" t="s">
        <v>1726</v>
      </c>
      <c r="L42" s="15">
        <f t="shared" si="3"/>
        <v>3.4722222222222154E-2</v>
      </c>
      <c r="M42">
        <f t="shared" si="4"/>
        <v>8</v>
      </c>
    </row>
    <row r="43" spans="1:13" x14ac:dyDescent="0.3">
      <c r="A43" s="1"/>
      <c r="B43" s="1"/>
      <c r="C43" s="9" t="s">
        <v>93</v>
      </c>
      <c r="D43" s="9" t="s">
        <v>94</v>
      </c>
      <c r="E43" s="9" t="s">
        <v>164</v>
      </c>
      <c r="F43" s="9" t="s">
        <v>22</v>
      </c>
      <c r="G43" s="11" t="s">
        <v>19</v>
      </c>
      <c r="H43" s="2"/>
      <c r="I43" s="7"/>
      <c r="J43" s="4"/>
      <c r="K43" s="12"/>
    </row>
    <row r="44" spans="1:13" x14ac:dyDescent="0.3">
      <c r="A44" s="1"/>
      <c r="B44" s="1"/>
      <c r="C44" s="1"/>
      <c r="D44" s="1"/>
      <c r="E44" s="1"/>
      <c r="F44" s="1"/>
      <c r="G44" s="9" t="s">
        <v>1770</v>
      </c>
      <c r="H44" s="9" t="s">
        <v>119</v>
      </c>
      <c r="I44" s="9" t="s">
        <v>1688</v>
      </c>
      <c r="J44" s="3" t="s">
        <v>1771</v>
      </c>
      <c r="K44" s="13" t="s">
        <v>1772</v>
      </c>
      <c r="L44" s="15">
        <f t="shared" si="3"/>
        <v>1.3483796296296147E-2</v>
      </c>
      <c r="M44">
        <f t="shared" si="4"/>
        <v>21</v>
      </c>
    </row>
    <row r="45" spans="1:13" x14ac:dyDescent="0.3">
      <c r="A45" s="1"/>
      <c r="B45" s="1"/>
      <c r="C45" s="1"/>
      <c r="D45" s="1"/>
      <c r="E45" s="1"/>
      <c r="F45" s="1"/>
      <c r="G45" s="9" t="s">
        <v>1773</v>
      </c>
      <c r="H45" s="9" t="s">
        <v>119</v>
      </c>
      <c r="I45" s="9" t="s">
        <v>1688</v>
      </c>
      <c r="J45" s="3" t="s">
        <v>1774</v>
      </c>
      <c r="K45" s="13" t="s">
        <v>1775</v>
      </c>
      <c r="L45" s="15">
        <f t="shared" si="3"/>
        <v>1.3333333333333419E-2</v>
      </c>
      <c r="M45">
        <f t="shared" si="4"/>
        <v>17</v>
      </c>
    </row>
    <row r="46" spans="1:13" x14ac:dyDescent="0.3">
      <c r="A46" s="1"/>
      <c r="B46" s="1"/>
      <c r="C46" s="9" t="s">
        <v>177</v>
      </c>
      <c r="D46" s="9" t="s">
        <v>178</v>
      </c>
      <c r="E46" s="9" t="s">
        <v>178</v>
      </c>
      <c r="F46" s="9" t="s">
        <v>22</v>
      </c>
      <c r="G46" s="9" t="s">
        <v>1776</v>
      </c>
      <c r="H46" s="9" t="s">
        <v>119</v>
      </c>
      <c r="I46" s="9" t="s">
        <v>1688</v>
      </c>
      <c r="J46" s="3" t="s">
        <v>1777</v>
      </c>
      <c r="K46" s="13" t="s">
        <v>1778</v>
      </c>
      <c r="L46" s="15">
        <f t="shared" si="3"/>
        <v>2.4363425925925941E-2</v>
      </c>
      <c r="M46">
        <f t="shared" si="4"/>
        <v>10</v>
      </c>
    </row>
    <row r="47" spans="1:13" x14ac:dyDescent="0.3">
      <c r="A47" s="9" t="s">
        <v>214</v>
      </c>
      <c r="B47" s="9" t="s">
        <v>215</v>
      </c>
      <c r="C47" s="11" t="s">
        <v>19</v>
      </c>
      <c r="D47" s="2"/>
      <c r="E47" s="2"/>
      <c r="F47" s="2"/>
      <c r="G47" s="2"/>
      <c r="H47" s="2"/>
      <c r="I47" s="7"/>
      <c r="J47" s="4"/>
      <c r="K47" s="12"/>
    </row>
    <row r="48" spans="1:13" x14ac:dyDescent="0.3">
      <c r="A48" s="1"/>
      <c r="B48" s="1"/>
      <c r="C48" s="9" t="s">
        <v>216</v>
      </c>
      <c r="D48" s="9" t="s">
        <v>217</v>
      </c>
      <c r="E48" s="9" t="s">
        <v>217</v>
      </c>
      <c r="F48" s="9" t="s">
        <v>22</v>
      </c>
      <c r="G48" s="11" t="s">
        <v>19</v>
      </c>
      <c r="H48" s="2"/>
      <c r="I48" s="7"/>
      <c r="J48" s="4"/>
      <c r="K48" s="12"/>
    </row>
    <row r="49" spans="1:13" x14ac:dyDescent="0.3">
      <c r="A49" s="1"/>
      <c r="B49" s="1"/>
      <c r="C49" s="1"/>
      <c r="D49" s="1"/>
      <c r="E49" s="1"/>
      <c r="F49" s="1"/>
      <c r="G49" s="9" t="s">
        <v>1779</v>
      </c>
      <c r="H49" s="9" t="s">
        <v>119</v>
      </c>
      <c r="I49" s="9" t="s">
        <v>1688</v>
      </c>
      <c r="J49" s="3" t="s">
        <v>1780</v>
      </c>
      <c r="K49" s="13" t="s">
        <v>1781</v>
      </c>
      <c r="L49" s="15">
        <f t="shared" si="3"/>
        <v>1.3645833333333329E-2</v>
      </c>
      <c r="M49">
        <f t="shared" si="4"/>
        <v>4</v>
      </c>
    </row>
    <row r="50" spans="1:13" x14ac:dyDescent="0.3">
      <c r="A50" s="1"/>
      <c r="B50" s="1"/>
      <c r="C50" s="1"/>
      <c r="D50" s="1"/>
      <c r="E50" s="1"/>
      <c r="F50" s="1"/>
      <c r="G50" s="9" t="s">
        <v>1782</v>
      </c>
      <c r="H50" s="9" t="s">
        <v>119</v>
      </c>
      <c r="I50" s="9" t="s">
        <v>1688</v>
      </c>
      <c r="J50" s="3" t="s">
        <v>1783</v>
      </c>
      <c r="K50" s="13" t="s">
        <v>1784</v>
      </c>
      <c r="L50" s="15">
        <f t="shared" si="3"/>
        <v>1.3182870370370359E-2</v>
      </c>
      <c r="M50">
        <f t="shared" si="4"/>
        <v>5</v>
      </c>
    </row>
    <row r="51" spans="1:13" x14ac:dyDescent="0.3">
      <c r="A51" s="1"/>
      <c r="B51" s="1"/>
      <c r="C51" s="1"/>
      <c r="D51" s="1"/>
      <c r="E51" s="1"/>
      <c r="F51" s="1"/>
      <c r="G51" s="9" t="s">
        <v>1785</v>
      </c>
      <c r="H51" s="9" t="s">
        <v>119</v>
      </c>
      <c r="I51" s="9" t="s">
        <v>1688</v>
      </c>
      <c r="J51" s="3" t="s">
        <v>1786</v>
      </c>
      <c r="K51" s="13" t="s">
        <v>1787</v>
      </c>
      <c r="L51" s="15">
        <f t="shared" si="3"/>
        <v>1.4039351851851789E-2</v>
      </c>
      <c r="M51">
        <f t="shared" si="4"/>
        <v>6</v>
      </c>
    </row>
    <row r="52" spans="1:13" x14ac:dyDescent="0.3">
      <c r="A52" s="1"/>
      <c r="B52" s="1"/>
      <c r="C52" s="1"/>
      <c r="D52" s="1"/>
      <c r="E52" s="1"/>
      <c r="F52" s="1"/>
      <c r="G52" s="9" t="s">
        <v>1788</v>
      </c>
      <c r="H52" s="9" t="s">
        <v>119</v>
      </c>
      <c r="I52" s="9" t="s">
        <v>1688</v>
      </c>
      <c r="J52" s="3" t="s">
        <v>1789</v>
      </c>
      <c r="K52" s="13" t="s">
        <v>1790</v>
      </c>
      <c r="L52" s="15">
        <f t="shared" si="3"/>
        <v>2.1527777777777812E-2</v>
      </c>
      <c r="M52">
        <f t="shared" si="4"/>
        <v>8</v>
      </c>
    </row>
    <row r="53" spans="1:13" x14ac:dyDescent="0.3">
      <c r="A53" s="1"/>
      <c r="B53" s="1"/>
      <c r="C53" s="1"/>
      <c r="D53" s="1"/>
      <c r="E53" s="1"/>
      <c r="F53" s="1"/>
      <c r="G53" s="9" t="s">
        <v>1791</v>
      </c>
      <c r="H53" s="9" t="s">
        <v>119</v>
      </c>
      <c r="I53" s="9" t="s">
        <v>1688</v>
      </c>
      <c r="J53" s="3" t="s">
        <v>1792</v>
      </c>
      <c r="K53" s="13" t="s">
        <v>1793</v>
      </c>
      <c r="L53" s="15">
        <f t="shared" si="3"/>
        <v>1.288194444444446E-2</v>
      </c>
      <c r="M53">
        <f t="shared" si="4"/>
        <v>10</v>
      </c>
    </row>
    <row r="54" spans="1:13" x14ac:dyDescent="0.3">
      <c r="A54" s="1"/>
      <c r="B54" s="1"/>
      <c r="C54" s="9" t="s">
        <v>116</v>
      </c>
      <c r="D54" s="9" t="s">
        <v>117</v>
      </c>
      <c r="E54" s="9" t="s">
        <v>117</v>
      </c>
      <c r="F54" s="9" t="s">
        <v>22</v>
      </c>
      <c r="G54" s="11" t="s">
        <v>19</v>
      </c>
      <c r="H54" s="2"/>
      <c r="I54" s="7"/>
      <c r="J54" s="4"/>
      <c r="K54" s="12"/>
    </row>
    <row r="55" spans="1:13" x14ac:dyDescent="0.3">
      <c r="A55" s="1"/>
      <c r="B55" s="1"/>
      <c r="C55" s="1"/>
      <c r="D55" s="1"/>
      <c r="E55" s="1"/>
      <c r="F55" s="1"/>
      <c r="G55" s="9" t="s">
        <v>1794</v>
      </c>
      <c r="H55" s="9" t="s">
        <v>119</v>
      </c>
      <c r="I55" s="9" t="s">
        <v>1688</v>
      </c>
      <c r="J55" s="3" t="s">
        <v>1795</v>
      </c>
      <c r="K55" s="13" t="s">
        <v>1796</v>
      </c>
      <c r="L55" s="15">
        <f t="shared" si="3"/>
        <v>1.2928240740740754E-2</v>
      </c>
      <c r="M55">
        <f t="shared" si="4"/>
        <v>4</v>
      </c>
    </row>
    <row r="56" spans="1:13" x14ac:dyDescent="0.3">
      <c r="A56" s="1"/>
      <c r="B56" s="1"/>
      <c r="C56" s="1"/>
      <c r="D56" s="1"/>
      <c r="E56" s="1"/>
      <c r="F56" s="1"/>
      <c r="G56" s="9" t="s">
        <v>1797</v>
      </c>
      <c r="H56" s="9" t="s">
        <v>119</v>
      </c>
      <c r="I56" s="9" t="s">
        <v>1688</v>
      </c>
      <c r="J56" s="3" t="s">
        <v>1798</v>
      </c>
      <c r="K56" s="13" t="s">
        <v>1799</v>
      </c>
      <c r="L56" s="15">
        <f t="shared" si="3"/>
        <v>1.2430555555555611E-2</v>
      </c>
      <c r="M56">
        <f t="shared" si="4"/>
        <v>6</v>
      </c>
    </row>
    <row r="57" spans="1:13" x14ac:dyDescent="0.3">
      <c r="A57" s="1"/>
      <c r="B57" s="1"/>
      <c r="C57" s="1"/>
      <c r="D57" s="1"/>
      <c r="E57" s="1"/>
      <c r="F57" s="1"/>
      <c r="G57" s="9" t="s">
        <v>1800</v>
      </c>
      <c r="H57" s="9" t="s">
        <v>119</v>
      </c>
      <c r="I57" s="9" t="s">
        <v>1688</v>
      </c>
      <c r="J57" s="3" t="s">
        <v>1801</v>
      </c>
      <c r="K57" s="13" t="s">
        <v>1802</v>
      </c>
      <c r="L57" s="15">
        <f t="shared" si="3"/>
        <v>1.3194444444444453E-2</v>
      </c>
      <c r="M57">
        <f t="shared" si="4"/>
        <v>7</v>
      </c>
    </row>
    <row r="58" spans="1:13" x14ac:dyDescent="0.3">
      <c r="A58" s="1"/>
      <c r="B58" s="1"/>
      <c r="C58" s="1"/>
      <c r="D58" s="1"/>
      <c r="E58" s="1"/>
      <c r="F58" s="1"/>
      <c r="G58" s="9" t="s">
        <v>1803</v>
      </c>
      <c r="H58" s="9" t="s">
        <v>119</v>
      </c>
      <c r="I58" s="9" t="s">
        <v>1688</v>
      </c>
      <c r="J58" s="3" t="s">
        <v>1804</v>
      </c>
      <c r="K58" s="13" t="s">
        <v>1805</v>
      </c>
      <c r="L58" s="15">
        <f t="shared" si="3"/>
        <v>1.373842592592589E-2</v>
      </c>
      <c r="M58">
        <f t="shared" si="4"/>
        <v>9</v>
      </c>
    </row>
    <row r="59" spans="1:13" x14ac:dyDescent="0.3">
      <c r="A59" s="1"/>
      <c r="B59" s="1"/>
      <c r="C59" s="9" t="s">
        <v>147</v>
      </c>
      <c r="D59" s="9" t="s">
        <v>148</v>
      </c>
      <c r="E59" s="9" t="s">
        <v>272</v>
      </c>
      <c r="F59" s="9" t="s">
        <v>22</v>
      </c>
      <c r="G59" s="11" t="s">
        <v>19</v>
      </c>
      <c r="H59" s="2"/>
      <c r="I59" s="7"/>
      <c r="J59" s="4"/>
      <c r="K59" s="12"/>
    </row>
    <row r="60" spans="1:13" x14ac:dyDescent="0.3">
      <c r="A60" s="1"/>
      <c r="B60" s="1"/>
      <c r="C60" s="1"/>
      <c r="D60" s="1"/>
      <c r="E60" s="1"/>
      <c r="F60" s="1"/>
      <c r="G60" s="9" t="s">
        <v>1806</v>
      </c>
      <c r="H60" s="9" t="s">
        <v>119</v>
      </c>
      <c r="I60" s="9" t="s">
        <v>1688</v>
      </c>
      <c r="J60" s="3" t="s">
        <v>1807</v>
      </c>
      <c r="K60" s="13" t="s">
        <v>1808</v>
      </c>
      <c r="L60" s="15">
        <f t="shared" si="3"/>
        <v>2.5925925925925908E-2</v>
      </c>
      <c r="M60">
        <f t="shared" si="4"/>
        <v>9</v>
      </c>
    </row>
    <row r="61" spans="1:13" x14ac:dyDescent="0.3">
      <c r="A61" s="1"/>
      <c r="B61" s="1"/>
      <c r="C61" s="1"/>
      <c r="D61" s="1"/>
      <c r="E61" s="1"/>
      <c r="F61" s="1"/>
      <c r="G61" s="9" t="s">
        <v>1809</v>
      </c>
      <c r="H61" s="9" t="s">
        <v>119</v>
      </c>
      <c r="I61" s="9" t="s">
        <v>1688</v>
      </c>
      <c r="J61" s="3" t="s">
        <v>1810</v>
      </c>
      <c r="K61" s="13" t="s">
        <v>1811</v>
      </c>
      <c r="L61" s="15">
        <f t="shared" si="3"/>
        <v>3.0821759259259285E-2</v>
      </c>
      <c r="M61">
        <f t="shared" si="4"/>
        <v>9</v>
      </c>
    </row>
    <row r="62" spans="1:13" x14ac:dyDescent="0.3">
      <c r="A62" s="1"/>
      <c r="B62" s="1"/>
      <c r="C62" s="1"/>
      <c r="D62" s="1"/>
      <c r="E62" s="1"/>
      <c r="F62" s="1"/>
      <c r="G62" s="9" t="s">
        <v>1812</v>
      </c>
      <c r="H62" s="9" t="s">
        <v>119</v>
      </c>
      <c r="I62" s="9" t="s">
        <v>1688</v>
      </c>
      <c r="J62" s="3" t="s">
        <v>1813</v>
      </c>
      <c r="K62" s="13" t="s">
        <v>1814</v>
      </c>
      <c r="L62" s="15">
        <f t="shared" si="3"/>
        <v>1.693287037037039E-2</v>
      </c>
      <c r="M62">
        <f t="shared" si="4"/>
        <v>12</v>
      </c>
    </row>
    <row r="63" spans="1:13" x14ac:dyDescent="0.3">
      <c r="A63" s="1"/>
      <c r="B63" s="1"/>
      <c r="C63" s="1"/>
      <c r="D63" s="1"/>
      <c r="E63" s="1"/>
      <c r="F63" s="1"/>
      <c r="G63" s="9" t="s">
        <v>1815</v>
      </c>
      <c r="H63" s="9" t="s">
        <v>119</v>
      </c>
      <c r="I63" s="9" t="s">
        <v>1688</v>
      </c>
      <c r="J63" s="3" t="s">
        <v>1816</v>
      </c>
      <c r="K63" s="13" t="s">
        <v>1817</v>
      </c>
      <c r="L63" s="15">
        <f t="shared" si="3"/>
        <v>1.4027777777777861E-2</v>
      </c>
      <c r="M63">
        <f t="shared" si="4"/>
        <v>13</v>
      </c>
    </row>
    <row r="64" spans="1:13" x14ac:dyDescent="0.3">
      <c r="A64" s="1"/>
      <c r="B64" s="1"/>
      <c r="C64" s="1"/>
      <c r="D64" s="1"/>
      <c r="E64" s="1"/>
      <c r="F64" s="1"/>
      <c r="G64" s="9" t="s">
        <v>1818</v>
      </c>
      <c r="H64" s="9" t="s">
        <v>119</v>
      </c>
      <c r="I64" s="9" t="s">
        <v>1688</v>
      </c>
      <c r="J64" s="3" t="s">
        <v>1819</v>
      </c>
      <c r="K64" s="13" t="s">
        <v>1820</v>
      </c>
      <c r="L64" s="15">
        <f t="shared" si="3"/>
        <v>1.5787037037036988E-2</v>
      </c>
      <c r="M64">
        <f t="shared" si="4"/>
        <v>14</v>
      </c>
    </row>
    <row r="65" spans="1:13" x14ac:dyDescent="0.3">
      <c r="A65" s="1"/>
      <c r="B65" s="1"/>
      <c r="C65" s="9" t="s">
        <v>322</v>
      </c>
      <c r="D65" s="9" t="s">
        <v>323</v>
      </c>
      <c r="E65" s="9" t="s">
        <v>323</v>
      </c>
      <c r="F65" s="9" t="s">
        <v>22</v>
      </c>
      <c r="G65" s="11" t="s">
        <v>19</v>
      </c>
      <c r="H65" s="2"/>
      <c r="I65" s="7"/>
      <c r="J65" s="4"/>
      <c r="K65" s="12"/>
    </row>
    <row r="66" spans="1:13" x14ac:dyDescent="0.3">
      <c r="A66" s="1"/>
      <c r="B66" s="1"/>
      <c r="C66" s="1"/>
      <c r="D66" s="1"/>
      <c r="E66" s="1"/>
      <c r="F66" s="1"/>
      <c r="G66" s="9" t="s">
        <v>1821</v>
      </c>
      <c r="H66" s="9" t="s">
        <v>119</v>
      </c>
      <c r="I66" s="9" t="s">
        <v>1688</v>
      </c>
      <c r="J66" s="3" t="s">
        <v>1822</v>
      </c>
      <c r="K66" s="13" t="s">
        <v>1823</v>
      </c>
      <c r="L66" s="15">
        <f t="shared" si="3"/>
        <v>3.5462962962962974E-2</v>
      </c>
      <c r="M66">
        <f t="shared" si="4"/>
        <v>8</v>
      </c>
    </row>
    <row r="67" spans="1:13" x14ac:dyDescent="0.3">
      <c r="A67" s="1"/>
      <c r="B67" s="1"/>
      <c r="C67" s="1"/>
      <c r="D67" s="1"/>
      <c r="E67" s="1"/>
      <c r="F67" s="1"/>
      <c r="G67" s="9" t="s">
        <v>1824</v>
      </c>
      <c r="H67" s="9" t="s">
        <v>119</v>
      </c>
      <c r="I67" s="9" t="s">
        <v>1688</v>
      </c>
      <c r="J67" s="3" t="s">
        <v>1825</v>
      </c>
      <c r="K67" s="13" t="s">
        <v>1826</v>
      </c>
      <c r="L67" s="15">
        <f t="shared" ref="L67:L101" si="5">K67-J67</f>
        <v>3.4722222222222154E-2</v>
      </c>
      <c r="M67">
        <f t="shared" ref="M67:M101" si="6">HOUR(J67)</f>
        <v>8</v>
      </c>
    </row>
    <row r="68" spans="1:13" x14ac:dyDescent="0.3">
      <c r="A68" s="1"/>
      <c r="B68" s="1"/>
      <c r="C68" s="1"/>
      <c r="D68" s="1"/>
      <c r="E68" s="1"/>
      <c r="F68" s="1"/>
      <c r="G68" s="9" t="s">
        <v>1827</v>
      </c>
      <c r="H68" s="9" t="s">
        <v>119</v>
      </c>
      <c r="I68" s="9" t="s">
        <v>1688</v>
      </c>
      <c r="J68" s="3" t="s">
        <v>1828</v>
      </c>
      <c r="K68" s="13" t="s">
        <v>1829</v>
      </c>
      <c r="L68" s="15">
        <f t="shared" si="5"/>
        <v>2.3703703703703727E-2</v>
      </c>
      <c r="M68">
        <f t="shared" si="6"/>
        <v>10</v>
      </c>
    </row>
    <row r="69" spans="1:13" x14ac:dyDescent="0.3">
      <c r="A69" s="1"/>
      <c r="B69" s="1"/>
      <c r="C69" s="1"/>
      <c r="D69" s="1"/>
      <c r="E69" s="1"/>
      <c r="F69" s="1"/>
      <c r="G69" s="9" t="s">
        <v>1830</v>
      </c>
      <c r="H69" s="9" t="s">
        <v>119</v>
      </c>
      <c r="I69" s="9" t="s">
        <v>1688</v>
      </c>
      <c r="J69" s="3" t="s">
        <v>1831</v>
      </c>
      <c r="K69" s="13" t="s">
        <v>1832</v>
      </c>
      <c r="L69" s="15">
        <f t="shared" si="5"/>
        <v>1.4409722222222143E-2</v>
      </c>
      <c r="M69">
        <f t="shared" si="6"/>
        <v>12</v>
      </c>
    </row>
    <row r="70" spans="1:13" x14ac:dyDescent="0.3">
      <c r="A70" s="1"/>
      <c r="B70" s="1"/>
      <c r="C70" s="1"/>
      <c r="D70" s="1"/>
      <c r="E70" s="1"/>
      <c r="F70" s="1"/>
      <c r="G70" s="9" t="s">
        <v>1833</v>
      </c>
      <c r="H70" s="9" t="s">
        <v>119</v>
      </c>
      <c r="I70" s="9" t="s">
        <v>1688</v>
      </c>
      <c r="J70" s="3" t="s">
        <v>1834</v>
      </c>
      <c r="K70" s="13" t="s">
        <v>1835</v>
      </c>
      <c r="L70" s="15">
        <f t="shared" si="5"/>
        <v>2.532407407407411E-2</v>
      </c>
      <c r="M70">
        <f t="shared" si="6"/>
        <v>15</v>
      </c>
    </row>
    <row r="71" spans="1:13" x14ac:dyDescent="0.3">
      <c r="A71" s="1"/>
      <c r="B71" s="1"/>
      <c r="C71" s="9" t="s">
        <v>93</v>
      </c>
      <c r="D71" s="9" t="s">
        <v>94</v>
      </c>
      <c r="E71" s="11" t="s">
        <v>19</v>
      </c>
      <c r="F71" s="2"/>
      <c r="G71" s="2"/>
      <c r="H71" s="2"/>
      <c r="I71" s="7"/>
      <c r="J71" s="4"/>
      <c r="K71" s="12"/>
    </row>
    <row r="72" spans="1:13" x14ac:dyDescent="0.3">
      <c r="A72" s="1"/>
      <c r="B72" s="1"/>
      <c r="C72" s="1"/>
      <c r="D72" s="1"/>
      <c r="E72" s="9" t="s">
        <v>94</v>
      </c>
      <c r="F72" s="9" t="s">
        <v>22</v>
      </c>
      <c r="G72" s="11" t="s">
        <v>19</v>
      </c>
      <c r="H72" s="2"/>
      <c r="I72" s="7"/>
      <c r="J72" s="4"/>
      <c r="K72" s="12"/>
    </row>
    <row r="73" spans="1:13" x14ac:dyDescent="0.3">
      <c r="A73" s="1"/>
      <c r="B73" s="1"/>
      <c r="C73" s="1"/>
      <c r="D73" s="1"/>
      <c r="E73" s="1"/>
      <c r="F73" s="1"/>
      <c r="G73" s="9" t="s">
        <v>1836</v>
      </c>
      <c r="H73" s="9" t="s">
        <v>119</v>
      </c>
      <c r="I73" s="9" t="s">
        <v>1688</v>
      </c>
      <c r="J73" s="3" t="s">
        <v>1837</v>
      </c>
      <c r="K73" s="13" t="s">
        <v>1838</v>
      </c>
      <c r="L73" s="15">
        <f t="shared" si="5"/>
        <v>9.1782407407407368E-3</v>
      </c>
      <c r="M73">
        <f t="shared" si="6"/>
        <v>1</v>
      </c>
    </row>
    <row r="74" spans="1:13" x14ac:dyDescent="0.3">
      <c r="A74" s="1"/>
      <c r="B74" s="1"/>
      <c r="C74" s="1"/>
      <c r="D74" s="1"/>
      <c r="E74" s="1"/>
      <c r="F74" s="1"/>
      <c r="G74" s="9" t="s">
        <v>1839</v>
      </c>
      <c r="H74" s="9" t="s">
        <v>119</v>
      </c>
      <c r="I74" s="9" t="s">
        <v>1688</v>
      </c>
      <c r="J74" s="3" t="s">
        <v>1840</v>
      </c>
      <c r="K74" s="13" t="s">
        <v>1841</v>
      </c>
      <c r="L74" s="15">
        <f t="shared" si="5"/>
        <v>1.0775462962962945E-2</v>
      </c>
      <c r="M74">
        <f t="shared" si="6"/>
        <v>4</v>
      </c>
    </row>
    <row r="75" spans="1:13" x14ac:dyDescent="0.3">
      <c r="A75" s="1"/>
      <c r="B75" s="1"/>
      <c r="C75" s="1"/>
      <c r="D75" s="1"/>
      <c r="E75" s="1"/>
      <c r="F75" s="1"/>
      <c r="G75" s="9" t="s">
        <v>1842</v>
      </c>
      <c r="H75" s="9" t="s">
        <v>119</v>
      </c>
      <c r="I75" s="9" t="s">
        <v>1688</v>
      </c>
      <c r="J75" s="3" t="s">
        <v>1843</v>
      </c>
      <c r="K75" s="13" t="s">
        <v>1844</v>
      </c>
      <c r="L75" s="15">
        <f t="shared" si="5"/>
        <v>1.5428240740740756E-2</v>
      </c>
      <c r="M75">
        <f t="shared" si="6"/>
        <v>5</v>
      </c>
    </row>
    <row r="76" spans="1:13" x14ac:dyDescent="0.3">
      <c r="A76" s="1"/>
      <c r="B76" s="1"/>
      <c r="C76" s="1"/>
      <c r="D76" s="1"/>
      <c r="E76" s="1"/>
      <c r="F76" s="1"/>
      <c r="G76" s="9" t="s">
        <v>1845</v>
      </c>
      <c r="H76" s="9" t="s">
        <v>119</v>
      </c>
      <c r="I76" s="9" t="s">
        <v>1688</v>
      </c>
      <c r="J76" s="3" t="s">
        <v>1846</v>
      </c>
      <c r="K76" s="13" t="s">
        <v>1847</v>
      </c>
      <c r="L76" s="15">
        <f t="shared" si="5"/>
        <v>2.2800925925925863E-2</v>
      </c>
      <c r="M76">
        <f t="shared" si="6"/>
        <v>12</v>
      </c>
    </row>
    <row r="77" spans="1:13" x14ac:dyDescent="0.3">
      <c r="A77" s="1"/>
      <c r="B77" s="1"/>
      <c r="C77" s="1"/>
      <c r="D77" s="1"/>
      <c r="E77" s="9" t="s">
        <v>164</v>
      </c>
      <c r="F77" s="9" t="s">
        <v>22</v>
      </c>
      <c r="G77" s="9" t="s">
        <v>1848</v>
      </c>
      <c r="H77" s="9" t="s">
        <v>119</v>
      </c>
      <c r="I77" s="9" t="s">
        <v>1688</v>
      </c>
      <c r="J77" s="3" t="s">
        <v>1849</v>
      </c>
      <c r="K77" s="13" t="s">
        <v>1850</v>
      </c>
      <c r="L77" s="15">
        <f t="shared" si="5"/>
        <v>3.5416666666666707E-2</v>
      </c>
      <c r="M77">
        <f t="shared" si="6"/>
        <v>8</v>
      </c>
    </row>
    <row r="78" spans="1:13" x14ac:dyDescent="0.3">
      <c r="A78" s="1"/>
      <c r="B78" s="1"/>
      <c r="C78" s="9" t="s">
        <v>354</v>
      </c>
      <c r="D78" s="9" t="s">
        <v>355</v>
      </c>
      <c r="E78" s="9" t="s">
        <v>355</v>
      </c>
      <c r="F78" s="9" t="s">
        <v>22</v>
      </c>
      <c r="G78" s="9" t="s">
        <v>1851</v>
      </c>
      <c r="H78" s="9" t="s">
        <v>119</v>
      </c>
      <c r="I78" s="9" t="s">
        <v>1688</v>
      </c>
      <c r="J78" s="3" t="s">
        <v>1852</v>
      </c>
      <c r="K78" s="13" t="s">
        <v>1853</v>
      </c>
      <c r="L78" s="15">
        <f t="shared" si="5"/>
        <v>1.6585648148148169E-2</v>
      </c>
      <c r="M78">
        <f t="shared" si="6"/>
        <v>5</v>
      </c>
    </row>
    <row r="79" spans="1:13" x14ac:dyDescent="0.3">
      <c r="A79" s="1"/>
      <c r="B79" s="1"/>
      <c r="C79" s="9" t="s">
        <v>177</v>
      </c>
      <c r="D79" s="9" t="s">
        <v>178</v>
      </c>
      <c r="E79" s="9" t="s">
        <v>178</v>
      </c>
      <c r="F79" s="9" t="s">
        <v>22</v>
      </c>
      <c r="G79" s="9" t="s">
        <v>1854</v>
      </c>
      <c r="H79" s="9" t="s">
        <v>119</v>
      </c>
      <c r="I79" s="9" t="s">
        <v>1688</v>
      </c>
      <c r="J79" s="3" t="s">
        <v>1855</v>
      </c>
      <c r="K79" s="13" t="s">
        <v>1856</v>
      </c>
      <c r="L79" s="15">
        <f t="shared" si="5"/>
        <v>2.3067129629629646E-2</v>
      </c>
      <c r="M79">
        <f t="shared" si="6"/>
        <v>14</v>
      </c>
    </row>
    <row r="80" spans="1:13" x14ac:dyDescent="0.3">
      <c r="A80" s="1"/>
      <c r="B80" s="1"/>
      <c r="C80" s="9" t="s">
        <v>1857</v>
      </c>
      <c r="D80" s="9" t="s">
        <v>1858</v>
      </c>
      <c r="E80" s="9" t="s">
        <v>1858</v>
      </c>
      <c r="F80" s="9" t="s">
        <v>22</v>
      </c>
      <c r="G80" s="11" t="s">
        <v>19</v>
      </c>
      <c r="H80" s="2"/>
      <c r="I80" s="7"/>
      <c r="J80" s="4"/>
      <c r="K80" s="12"/>
    </row>
    <row r="81" spans="1:13" x14ac:dyDescent="0.3">
      <c r="A81" s="1"/>
      <c r="B81" s="1"/>
      <c r="C81" s="1"/>
      <c r="D81" s="1"/>
      <c r="E81" s="1"/>
      <c r="F81" s="1"/>
      <c r="G81" s="9" t="s">
        <v>1859</v>
      </c>
      <c r="H81" s="9" t="s">
        <v>119</v>
      </c>
      <c r="I81" s="9" t="s">
        <v>1688</v>
      </c>
      <c r="J81" s="3" t="s">
        <v>1860</v>
      </c>
      <c r="K81" s="13" t="s">
        <v>1861</v>
      </c>
      <c r="L81" s="15">
        <f t="shared" si="5"/>
        <v>2.9166666666666619E-2</v>
      </c>
      <c r="M81">
        <f t="shared" si="6"/>
        <v>8</v>
      </c>
    </row>
    <row r="82" spans="1:13" x14ac:dyDescent="0.3">
      <c r="A82" s="1"/>
      <c r="B82" s="1"/>
      <c r="C82" s="1"/>
      <c r="D82" s="1"/>
      <c r="E82" s="1"/>
      <c r="F82" s="1"/>
      <c r="G82" s="9" t="s">
        <v>1862</v>
      </c>
      <c r="H82" s="9" t="s">
        <v>119</v>
      </c>
      <c r="I82" s="9" t="s">
        <v>1688</v>
      </c>
      <c r="J82" s="3" t="s">
        <v>1863</v>
      </c>
      <c r="K82" s="13" t="s">
        <v>1864</v>
      </c>
      <c r="L82" s="15">
        <f t="shared" si="5"/>
        <v>3.126157407407415E-2</v>
      </c>
      <c r="M82">
        <f t="shared" si="6"/>
        <v>15</v>
      </c>
    </row>
    <row r="83" spans="1:13" x14ac:dyDescent="0.3">
      <c r="A83" s="1"/>
      <c r="B83" s="1"/>
      <c r="C83" s="9" t="s">
        <v>204</v>
      </c>
      <c r="D83" s="9" t="s">
        <v>205</v>
      </c>
      <c r="E83" s="9" t="s">
        <v>205</v>
      </c>
      <c r="F83" s="9" t="s">
        <v>22</v>
      </c>
      <c r="G83" s="11" t="s">
        <v>19</v>
      </c>
      <c r="H83" s="2"/>
      <c r="I83" s="7"/>
      <c r="J83" s="4"/>
      <c r="K83" s="12"/>
    </row>
    <row r="84" spans="1:13" x14ac:dyDescent="0.3">
      <c r="A84" s="1"/>
      <c r="B84" s="1"/>
      <c r="C84" s="1"/>
      <c r="D84" s="1"/>
      <c r="E84" s="1"/>
      <c r="F84" s="1"/>
      <c r="G84" s="9" t="s">
        <v>1865</v>
      </c>
      <c r="H84" s="9" t="s">
        <v>119</v>
      </c>
      <c r="I84" s="9" t="s">
        <v>1688</v>
      </c>
      <c r="J84" s="3" t="s">
        <v>1866</v>
      </c>
      <c r="K84" s="13" t="s">
        <v>1867</v>
      </c>
      <c r="L84" s="15">
        <f t="shared" si="5"/>
        <v>1.5104166666666669E-2</v>
      </c>
      <c r="M84">
        <v>0</v>
      </c>
    </row>
    <row r="85" spans="1:13" x14ac:dyDescent="0.3">
      <c r="A85" s="1"/>
      <c r="B85" s="1"/>
      <c r="C85" s="1"/>
      <c r="D85" s="1"/>
      <c r="E85" s="1"/>
      <c r="F85" s="1"/>
      <c r="G85" s="9" t="s">
        <v>1868</v>
      </c>
      <c r="H85" s="9" t="s">
        <v>119</v>
      </c>
      <c r="I85" s="9" t="s">
        <v>1688</v>
      </c>
      <c r="J85" s="3" t="s">
        <v>1869</v>
      </c>
      <c r="K85" s="13" t="s">
        <v>1870</v>
      </c>
      <c r="L85" s="15">
        <f t="shared" si="5"/>
        <v>1.9317129629629615E-2</v>
      </c>
      <c r="M85">
        <f t="shared" si="6"/>
        <v>5</v>
      </c>
    </row>
    <row r="86" spans="1:13" x14ac:dyDescent="0.3">
      <c r="A86" s="1"/>
      <c r="B86" s="1"/>
      <c r="C86" s="1"/>
      <c r="D86" s="1"/>
      <c r="E86" s="1"/>
      <c r="F86" s="1"/>
      <c r="G86" s="9" t="s">
        <v>1871</v>
      </c>
      <c r="H86" s="9" t="s">
        <v>119</v>
      </c>
      <c r="I86" s="9" t="s">
        <v>1688</v>
      </c>
      <c r="J86" s="3" t="s">
        <v>1872</v>
      </c>
      <c r="K86" s="13" t="s">
        <v>1873</v>
      </c>
      <c r="L86" s="15">
        <f t="shared" si="5"/>
        <v>4.0972222222222243E-2</v>
      </c>
      <c r="M86">
        <f t="shared" si="6"/>
        <v>7</v>
      </c>
    </row>
    <row r="87" spans="1:13" x14ac:dyDescent="0.3">
      <c r="A87" s="1"/>
      <c r="B87" s="1"/>
      <c r="C87" s="1"/>
      <c r="D87" s="1"/>
      <c r="E87" s="1"/>
      <c r="F87" s="1"/>
      <c r="G87" s="9" t="s">
        <v>1874</v>
      </c>
      <c r="H87" s="9" t="s">
        <v>119</v>
      </c>
      <c r="I87" s="9" t="s">
        <v>1688</v>
      </c>
      <c r="J87" s="3" t="s">
        <v>1875</v>
      </c>
      <c r="K87" s="13" t="s">
        <v>1876</v>
      </c>
      <c r="L87" s="15">
        <f t="shared" si="5"/>
        <v>1.9444444444444431E-2</v>
      </c>
      <c r="M87">
        <f t="shared" si="6"/>
        <v>7</v>
      </c>
    </row>
    <row r="88" spans="1:13" x14ac:dyDescent="0.3">
      <c r="A88" s="1"/>
      <c r="B88" s="1"/>
      <c r="C88" s="1"/>
      <c r="D88" s="1"/>
      <c r="E88" s="1"/>
      <c r="F88" s="1"/>
      <c r="G88" s="9" t="s">
        <v>1877</v>
      </c>
      <c r="H88" s="9" t="s">
        <v>119</v>
      </c>
      <c r="I88" s="9" t="s">
        <v>1688</v>
      </c>
      <c r="J88" s="3" t="s">
        <v>1878</v>
      </c>
      <c r="K88" s="13" t="s">
        <v>1879</v>
      </c>
      <c r="L88" s="15">
        <f t="shared" si="5"/>
        <v>1.3576388888888902E-2</v>
      </c>
      <c r="M88">
        <f t="shared" si="6"/>
        <v>22</v>
      </c>
    </row>
    <row r="89" spans="1:13" x14ac:dyDescent="0.3">
      <c r="A89" s="1"/>
      <c r="B89" s="1"/>
      <c r="C89" s="1"/>
      <c r="D89" s="1"/>
      <c r="E89" s="1"/>
      <c r="F89" s="1"/>
      <c r="G89" s="9" t="s">
        <v>1880</v>
      </c>
      <c r="H89" s="9" t="s">
        <v>119</v>
      </c>
      <c r="I89" s="9" t="s">
        <v>1688</v>
      </c>
      <c r="J89" s="3" t="s">
        <v>265</v>
      </c>
      <c r="K89" s="13" t="s">
        <v>1881</v>
      </c>
      <c r="L89" s="15">
        <f t="shared" si="5"/>
        <v>2.9166666666666619E-2</v>
      </c>
      <c r="M89">
        <f t="shared" si="6"/>
        <v>8</v>
      </c>
    </row>
    <row r="90" spans="1:13" x14ac:dyDescent="0.3">
      <c r="A90" s="1"/>
      <c r="B90" s="1"/>
      <c r="C90" s="1"/>
      <c r="D90" s="1"/>
      <c r="E90" s="1"/>
      <c r="F90" s="1"/>
      <c r="G90" s="9" t="s">
        <v>1882</v>
      </c>
      <c r="H90" s="9" t="s">
        <v>119</v>
      </c>
      <c r="I90" s="9" t="s">
        <v>1688</v>
      </c>
      <c r="J90" s="3" t="s">
        <v>1883</v>
      </c>
      <c r="K90" s="13" t="s">
        <v>1884</v>
      </c>
      <c r="L90" s="15">
        <f t="shared" si="5"/>
        <v>1.4456018518518521E-2</v>
      </c>
      <c r="M90">
        <f t="shared" si="6"/>
        <v>14</v>
      </c>
    </row>
    <row r="91" spans="1:13" x14ac:dyDescent="0.3">
      <c r="A91" s="9" t="s">
        <v>414</v>
      </c>
      <c r="B91" s="9" t="s">
        <v>415</v>
      </c>
      <c r="C91" s="11" t="s">
        <v>19</v>
      </c>
      <c r="D91" s="2"/>
      <c r="E91" s="2"/>
      <c r="F91" s="2"/>
      <c r="G91" s="2"/>
      <c r="H91" s="2"/>
      <c r="I91" s="7"/>
      <c r="J91" s="4"/>
      <c r="K91" s="12"/>
    </row>
    <row r="92" spans="1:13" x14ac:dyDescent="0.3">
      <c r="A92" s="1"/>
      <c r="B92" s="1"/>
      <c r="C92" s="9" t="s">
        <v>846</v>
      </c>
      <c r="D92" s="9" t="s">
        <v>847</v>
      </c>
      <c r="E92" s="9" t="s">
        <v>847</v>
      </c>
      <c r="F92" s="9" t="s">
        <v>418</v>
      </c>
      <c r="G92" s="9" t="s">
        <v>1885</v>
      </c>
      <c r="H92" s="9" t="s">
        <v>119</v>
      </c>
      <c r="I92" s="9" t="s">
        <v>1688</v>
      </c>
      <c r="J92" s="3" t="s">
        <v>1886</v>
      </c>
      <c r="K92" s="13" t="s">
        <v>1887</v>
      </c>
      <c r="L92" s="15">
        <f t="shared" si="5"/>
        <v>2.1909722222222205E-2</v>
      </c>
      <c r="M92">
        <f t="shared" si="6"/>
        <v>11</v>
      </c>
    </row>
    <row r="93" spans="1:13" x14ac:dyDescent="0.3">
      <c r="A93" s="1"/>
      <c r="B93" s="1"/>
      <c r="C93" s="9" t="s">
        <v>1888</v>
      </c>
      <c r="D93" s="9" t="s">
        <v>1889</v>
      </c>
      <c r="E93" s="9" t="s">
        <v>1889</v>
      </c>
      <c r="F93" s="9" t="s">
        <v>418</v>
      </c>
      <c r="G93" s="9" t="s">
        <v>1890</v>
      </c>
      <c r="H93" s="9" t="s">
        <v>119</v>
      </c>
      <c r="I93" s="9" t="s">
        <v>1688</v>
      </c>
      <c r="J93" s="3" t="s">
        <v>1891</v>
      </c>
      <c r="K93" s="13" t="s">
        <v>1892</v>
      </c>
      <c r="L93" s="15">
        <f t="shared" si="5"/>
        <v>2.7511574074074063E-2</v>
      </c>
      <c r="M93">
        <f t="shared" si="6"/>
        <v>9</v>
      </c>
    </row>
    <row r="94" spans="1:13" x14ac:dyDescent="0.3">
      <c r="A94" s="9" t="s">
        <v>427</v>
      </c>
      <c r="B94" s="9" t="s">
        <v>428</v>
      </c>
      <c r="C94" s="11" t="s">
        <v>19</v>
      </c>
      <c r="D94" s="2"/>
      <c r="E94" s="2"/>
      <c r="F94" s="2"/>
      <c r="G94" s="2"/>
      <c r="H94" s="2"/>
      <c r="I94" s="7"/>
      <c r="J94" s="4"/>
      <c r="K94" s="12"/>
    </row>
    <row r="95" spans="1:13" x14ac:dyDescent="0.3">
      <c r="A95" s="1"/>
      <c r="B95" s="1"/>
      <c r="C95" s="9" t="s">
        <v>857</v>
      </c>
      <c r="D95" s="9" t="s">
        <v>858</v>
      </c>
      <c r="E95" s="9" t="s">
        <v>859</v>
      </c>
      <c r="F95" s="9" t="s">
        <v>22</v>
      </c>
      <c r="G95" s="11" t="s">
        <v>19</v>
      </c>
      <c r="H95" s="2"/>
      <c r="I95" s="7"/>
      <c r="J95" s="4"/>
      <c r="K95" s="12"/>
    </row>
    <row r="96" spans="1:13" x14ac:dyDescent="0.3">
      <c r="A96" s="1"/>
      <c r="B96" s="1"/>
      <c r="C96" s="1"/>
      <c r="D96" s="1"/>
      <c r="E96" s="1"/>
      <c r="F96" s="1"/>
      <c r="G96" s="9" t="s">
        <v>1893</v>
      </c>
      <c r="H96" s="9" t="s">
        <v>119</v>
      </c>
      <c r="I96" s="9" t="s">
        <v>1688</v>
      </c>
      <c r="J96" s="3" t="s">
        <v>1894</v>
      </c>
      <c r="K96" s="13" t="s">
        <v>1895</v>
      </c>
      <c r="L96" s="15">
        <f t="shared" si="5"/>
        <v>2.163194444444444E-2</v>
      </c>
      <c r="M96">
        <f t="shared" si="6"/>
        <v>10</v>
      </c>
    </row>
    <row r="97" spans="1:13" x14ac:dyDescent="0.3">
      <c r="A97" s="1"/>
      <c r="B97" s="1"/>
      <c r="C97" s="1"/>
      <c r="D97" s="1"/>
      <c r="E97" s="1"/>
      <c r="F97" s="1"/>
      <c r="G97" s="9" t="s">
        <v>1896</v>
      </c>
      <c r="H97" s="9" t="s">
        <v>119</v>
      </c>
      <c r="I97" s="9" t="s">
        <v>1688</v>
      </c>
      <c r="J97" s="3" t="s">
        <v>1897</v>
      </c>
      <c r="K97" s="13" t="s">
        <v>1898</v>
      </c>
      <c r="L97" s="15">
        <f t="shared" si="5"/>
        <v>3.60300925925926E-2</v>
      </c>
      <c r="M97">
        <f t="shared" si="6"/>
        <v>15</v>
      </c>
    </row>
    <row r="98" spans="1:13" x14ac:dyDescent="0.3">
      <c r="A98" s="1"/>
      <c r="B98" s="1"/>
      <c r="C98" s="9" t="s">
        <v>429</v>
      </c>
      <c r="D98" s="9" t="s">
        <v>430</v>
      </c>
      <c r="E98" s="9" t="s">
        <v>430</v>
      </c>
      <c r="F98" s="9" t="s">
        <v>22</v>
      </c>
      <c r="G98" s="11" t="s">
        <v>19</v>
      </c>
      <c r="H98" s="2"/>
      <c r="I98" s="7"/>
      <c r="J98" s="4"/>
      <c r="K98" s="12"/>
    </row>
    <row r="99" spans="1:13" x14ac:dyDescent="0.3">
      <c r="A99" s="1"/>
      <c r="B99" s="1"/>
      <c r="C99" s="1"/>
      <c r="D99" s="1"/>
      <c r="E99" s="1"/>
      <c r="F99" s="1"/>
      <c r="G99" s="9" t="s">
        <v>1899</v>
      </c>
      <c r="H99" s="9" t="s">
        <v>119</v>
      </c>
      <c r="I99" s="9" t="s">
        <v>1688</v>
      </c>
      <c r="J99" s="3" t="s">
        <v>1900</v>
      </c>
      <c r="K99" s="13" t="s">
        <v>1901</v>
      </c>
      <c r="L99" s="15">
        <f t="shared" si="5"/>
        <v>1.6192129629629626E-2</v>
      </c>
      <c r="M99">
        <f t="shared" si="6"/>
        <v>4</v>
      </c>
    </row>
    <row r="100" spans="1:13" x14ac:dyDescent="0.3">
      <c r="A100" s="1"/>
      <c r="B100" s="1"/>
      <c r="C100" s="1"/>
      <c r="D100" s="1"/>
      <c r="E100" s="1"/>
      <c r="F100" s="1"/>
      <c r="G100" s="9" t="s">
        <v>1902</v>
      </c>
      <c r="H100" s="9" t="s">
        <v>119</v>
      </c>
      <c r="I100" s="9" t="s">
        <v>1688</v>
      </c>
      <c r="J100" s="3" t="s">
        <v>1903</v>
      </c>
      <c r="K100" s="13" t="s">
        <v>1904</v>
      </c>
      <c r="L100" s="15">
        <f t="shared" si="5"/>
        <v>2.4305555555555525E-2</v>
      </c>
      <c r="M100">
        <f t="shared" si="6"/>
        <v>8</v>
      </c>
    </row>
    <row r="101" spans="1:13" x14ac:dyDescent="0.3">
      <c r="A101" s="9" t="s">
        <v>464</v>
      </c>
      <c r="B101" s="9" t="s">
        <v>465</v>
      </c>
      <c r="C101" s="9" t="s">
        <v>857</v>
      </c>
      <c r="D101" s="9" t="s">
        <v>858</v>
      </c>
      <c r="E101" s="9" t="s">
        <v>859</v>
      </c>
      <c r="F101" s="9" t="s">
        <v>22</v>
      </c>
      <c r="G101" s="9" t="s">
        <v>1905</v>
      </c>
      <c r="H101" s="9" t="s">
        <v>39</v>
      </c>
      <c r="I101" s="9" t="s">
        <v>1688</v>
      </c>
      <c r="J101" s="6" t="s">
        <v>1906</v>
      </c>
      <c r="K101" s="14" t="s">
        <v>1907</v>
      </c>
      <c r="L101" s="15">
        <f t="shared" si="5"/>
        <v>3.5034722222222259E-2</v>
      </c>
      <c r="M101">
        <f t="shared" si="6"/>
        <v>15</v>
      </c>
    </row>
  </sheetData>
  <pageMargins left="0.7" right="0.7" top="0.75" bottom="0.75" header="0.3" footer="0.3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T774"/>
  <sheetViews>
    <sheetView topLeftCell="K1" workbookViewId="0">
      <selection activeCell="S17" sqref="S17"/>
    </sheetView>
  </sheetViews>
  <sheetFormatPr defaultRowHeight="14.65" x14ac:dyDescent="0.3"/>
  <cols>
    <col min="1" max="1" width="14.109375" bestFit="1" customWidth="1"/>
    <col min="2" max="2" width="31.88671875" bestFit="1" customWidth="1"/>
    <col min="3" max="3" width="7.5546875" bestFit="1" customWidth="1"/>
    <col min="4" max="5" width="31.44140625" bestFit="1" customWidth="1"/>
    <col min="6" max="7" width="13.109375" bestFit="1" customWidth="1"/>
    <col min="8" max="8" width="18.44140625" bestFit="1" customWidth="1"/>
    <col min="9" max="9" width="16.6640625" bestFit="1" customWidth="1"/>
    <col min="10" max="10" width="17.5546875" bestFit="1" customWidth="1"/>
    <col min="11" max="11" width="14.88671875" bestFit="1" customWidth="1"/>
    <col min="12" max="12" width="16" style="15" bestFit="1" customWidth="1"/>
    <col min="13" max="13" width="10.33203125" style="15" bestFit="1" customWidth="1"/>
    <col min="14" max="14" width="11.109375" bestFit="1" customWidth="1"/>
    <col min="15" max="16" width="11" bestFit="1" customWidth="1"/>
    <col min="17" max="17" width="31" bestFit="1" customWidth="1"/>
    <col min="18" max="18" width="41.88671875" bestFit="1" customWidth="1"/>
    <col min="19" max="19" width="46.33203125" style="15" bestFit="1" customWidth="1"/>
    <col min="20" max="20" width="41.33203125" bestFit="1" customWidth="1"/>
  </cols>
  <sheetData>
    <row r="1" spans="1:20" x14ac:dyDescent="0.3">
      <c r="A1" s="8" t="s">
        <v>0</v>
      </c>
      <c r="B1" s="5"/>
      <c r="C1" s="8" t="s">
        <v>1</v>
      </c>
      <c r="D1" s="5"/>
      <c r="E1" s="8" t="s">
        <v>2</v>
      </c>
      <c r="F1" s="8" t="s">
        <v>3</v>
      </c>
      <c r="G1" s="8" t="s">
        <v>4</v>
      </c>
      <c r="H1" s="8" t="s">
        <v>5</v>
      </c>
      <c r="I1" s="8" t="s">
        <v>6</v>
      </c>
      <c r="J1" s="8" t="s">
        <v>1908</v>
      </c>
      <c r="K1" s="9" t="s">
        <v>7</v>
      </c>
      <c r="L1" s="9" t="s">
        <v>8</v>
      </c>
      <c r="M1" s="15" t="s">
        <v>9</v>
      </c>
      <c r="N1" t="s">
        <v>10</v>
      </c>
      <c r="P1" t="s">
        <v>11</v>
      </c>
      <c r="Q1" t="s">
        <v>1909</v>
      </c>
      <c r="R1" t="s">
        <v>13</v>
      </c>
      <c r="S1" s="15" t="s">
        <v>1910</v>
      </c>
      <c r="T1" t="s">
        <v>1911</v>
      </c>
    </row>
    <row r="2" spans="1:20" x14ac:dyDescent="0.3">
      <c r="A2" s="10" t="s">
        <v>16</v>
      </c>
      <c r="B2" s="2"/>
      <c r="C2" s="2"/>
      <c r="D2" s="2"/>
      <c r="E2" s="2"/>
      <c r="F2" s="2"/>
      <c r="G2" s="2"/>
      <c r="H2" s="2"/>
      <c r="I2" s="2"/>
      <c r="J2" s="7"/>
      <c r="K2" s="4"/>
      <c r="L2" s="12"/>
      <c r="P2">
        <v>0</v>
      </c>
      <c r="Q2">
        <f>COUNTIF(N:N,"0")</f>
        <v>0</v>
      </c>
      <c r="R2" s="26">
        <f>AVERAGE($Q$2:$Q$25)</f>
        <v>26.458333333333332</v>
      </c>
      <c r="S2" s="15">
        <v>0</v>
      </c>
      <c r="T2" s="15">
        <f>AVERAGEIF($S$2:$S$25,"&lt;&gt; 0")</f>
        <v>2.0958035477791317E-2</v>
      </c>
    </row>
    <row r="3" spans="1:20" x14ac:dyDescent="0.3">
      <c r="A3" s="9" t="s">
        <v>17</v>
      </c>
      <c r="B3" s="9" t="s">
        <v>18</v>
      </c>
      <c r="C3" s="11" t="s">
        <v>19</v>
      </c>
      <c r="D3" s="2"/>
      <c r="E3" s="2"/>
      <c r="F3" s="2"/>
      <c r="G3" s="2"/>
      <c r="H3" s="2"/>
      <c r="I3" s="2"/>
      <c r="J3" s="7"/>
      <c r="K3" s="4"/>
      <c r="L3" s="12"/>
      <c r="P3">
        <v>1</v>
      </c>
      <c r="Q3">
        <f>COUNTIF(N:N,"1")</f>
        <v>7</v>
      </c>
      <c r="R3" s="26">
        <f t="shared" ref="R3:R25" si="0">AVERAGE($Q$2:$Q$25)</f>
        <v>26.458333333333332</v>
      </c>
      <c r="S3" s="15">
        <f t="shared" ref="S3:S25" si="1">AVERAGEIF($N$2:$N$1200,  P3, $M$2:$M$1200)</f>
        <v>1.8101851851851852E-2</v>
      </c>
      <c r="T3" s="15">
        <f t="shared" ref="T3:T25" si="2">AVERAGEIF($S$2:$S$25,"&lt;&gt; 0")</f>
        <v>2.0958035477791317E-2</v>
      </c>
    </row>
    <row r="4" spans="1:20" x14ac:dyDescent="0.3">
      <c r="A4" s="1"/>
      <c r="B4" s="1"/>
      <c r="C4" s="9" t="s">
        <v>65</v>
      </c>
      <c r="D4" s="9" t="s">
        <v>66</v>
      </c>
      <c r="E4" s="9" t="s">
        <v>66</v>
      </c>
      <c r="F4" s="9" t="s">
        <v>22</v>
      </c>
      <c r="G4" s="11" t="s">
        <v>19</v>
      </c>
      <c r="H4" s="2"/>
      <c r="I4" s="2"/>
      <c r="J4" s="7"/>
      <c r="K4" s="4"/>
      <c r="L4" s="12"/>
      <c r="P4">
        <v>2</v>
      </c>
      <c r="Q4">
        <f>COUNTIF(N:N,"2")</f>
        <v>12</v>
      </c>
      <c r="R4" s="26">
        <f t="shared" si="0"/>
        <v>26.458333333333332</v>
      </c>
      <c r="S4" s="15">
        <f t="shared" si="1"/>
        <v>1.5645254629629634E-2</v>
      </c>
      <c r="T4" s="15">
        <f t="shared" si="2"/>
        <v>2.0958035477791317E-2</v>
      </c>
    </row>
    <row r="5" spans="1:20" x14ac:dyDescent="0.3">
      <c r="A5" s="1"/>
      <c r="B5" s="1"/>
      <c r="C5" s="1"/>
      <c r="D5" s="1"/>
      <c r="E5" s="1"/>
      <c r="F5" s="1"/>
      <c r="G5" s="9" t="s">
        <v>1214</v>
      </c>
      <c r="H5" s="9" t="s">
        <v>39</v>
      </c>
      <c r="I5" s="9" t="s">
        <v>926</v>
      </c>
      <c r="J5" s="9" t="s">
        <v>1912</v>
      </c>
      <c r="K5" s="3" t="s">
        <v>1215</v>
      </c>
      <c r="L5" s="13" t="s">
        <v>1216</v>
      </c>
      <c r="M5" s="15">
        <f t="shared" ref="M5:M65" si="3">L5-K5</f>
        <v>4.1250000000000009E-2</v>
      </c>
      <c r="N5">
        <f t="shared" ref="N5:N65" si="4">HOUR(K5)</f>
        <v>12</v>
      </c>
      <c r="P5">
        <v>3</v>
      </c>
      <c r="Q5">
        <f>COUNTIF(N:N,"3")</f>
        <v>8</v>
      </c>
      <c r="R5" s="26">
        <f t="shared" si="0"/>
        <v>26.458333333333332</v>
      </c>
      <c r="S5" s="15">
        <f t="shared" si="1"/>
        <v>1.6548032407407407E-2</v>
      </c>
      <c r="T5" s="15">
        <f t="shared" si="2"/>
        <v>2.0958035477791317E-2</v>
      </c>
    </row>
    <row r="6" spans="1:20" x14ac:dyDescent="0.3">
      <c r="A6" s="1"/>
      <c r="B6" s="1"/>
      <c r="C6" s="1"/>
      <c r="D6" s="1"/>
      <c r="E6" s="1"/>
      <c r="F6" s="1"/>
      <c r="G6" s="9" t="s">
        <v>1217</v>
      </c>
      <c r="H6" s="9" t="s">
        <v>39</v>
      </c>
      <c r="I6" s="9" t="s">
        <v>926</v>
      </c>
      <c r="J6" s="9" t="s">
        <v>1912</v>
      </c>
      <c r="K6" s="3" t="s">
        <v>1218</v>
      </c>
      <c r="L6" s="13" t="s">
        <v>1219</v>
      </c>
      <c r="M6" s="15">
        <f t="shared" si="3"/>
        <v>2.3113425925925912E-2</v>
      </c>
      <c r="N6">
        <f t="shared" si="4"/>
        <v>14</v>
      </c>
      <c r="P6">
        <v>4</v>
      </c>
      <c r="Q6">
        <f>COUNTIF(N:N,"4")</f>
        <v>26</v>
      </c>
      <c r="R6" s="26">
        <f t="shared" si="0"/>
        <v>26.458333333333332</v>
      </c>
      <c r="S6" s="15">
        <f t="shared" si="1"/>
        <v>1.4906962250712251E-2</v>
      </c>
      <c r="T6" s="15">
        <f t="shared" si="2"/>
        <v>2.0958035477791317E-2</v>
      </c>
    </row>
    <row r="7" spans="1:20" x14ac:dyDescent="0.3">
      <c r="A7" s="1"/>
      <c r="B7" s="1"/>
      <c r="C7" s="1"/>
      <c r="D7" s="1"/>
      <c r="E7" s="1"/>
      <c r="F7" s="1"/>
      <c r="G7" s="9" t="s">
        <v>1295</v>
      </c>
      <c r="H7" s="9" t="s">
        <v>39</v>
      </c>
      <c r="I7" s="9" t="s">
        <v>1296</v>
      </c>
      <c r="J7" s="9" t="s">
        <v>1912</v>
      </c>
      <c r="K7" s="3" t="s">
        <v>1297</v>
      </c>
      <c r="L7" s="13" t="s">
        <v>1298</v>
      </c>
      <c r="M7" s="15">
        <f t="shared" si="3"/>
        <v>4.8888888888888926E-2</v>
      </c>
      <c r="N7">
        <f t="shared" si="4"/>
        <v>7</v>
      </c>
      <c r="P7">
        <v>5</v>
      </c>
      <c r="Q7">
        <f>COUNTIF(N:N,"5")</f>
        <v>38</v>
      </c>
      <c r="R7" s="26">
        <f t="shared" si="0"/>
        <v>26.458333333333332</v>
      </c>
      <c r="S7" s="15">
        <f t="shared" si="1"/>
        <v>1.7796661793372314E-2</v>
      </c>
      <c r="T7" s="15">
        <f t="shared" si="2"/>
        <v>2.0958035477791317E-2</v>
      </c>
    </row>
    <row r="8" spans="1:20" x14ac:dyDescent="0.3">
      <c r="A8" s="1"/>
      <c r="B8" s="1"/>
      <c r="C8" s="1"/>
      <c r="D8" s="1"/>
      <c r="E8" s="1"/>
      <c r="F8" s="1"/>
      <c r="G8" s="9" t="s">
        <v>1299</v>
      </c>
      <c r="H8" s="9" t="s">
        <v>39</v>
      </c>
      <c r="I8" s="9" t="s">
        <v>1296</v>
      </c>
      <c r="J8" s="9" t="s">
        <v>1912</v>
      </c>
      <c r="K8" s="3" t="s">
        <v>1300</v>
      </c>
      <c r="L8" s="13" t="s">
        <v>1301</v>
      </c>
      <c r="M8" s="15">
        <f t="shared" si="3"/>
        <v>2.5173611111111105E-2</v>
      </c>
      <c r="N8">
        <f t="shared" si="4"/>
        <v>8</v>
      </c>
      <c r="P8">
        <v>6</v>
      </c>
      <c r="Q8">
        <f>COUNTIF(N:N,"6")</f>
        <v>38</v>
      </c>
      <c r="R8" s="26">
        <f t="shared" si="0"/>
        <v>26.458333333333332</v>
      </c>
      <c r="S8" s="15">
        <f t="shared" si="1"/>
        <v>2.1625243664717353E-2</v>
      </c>
      <c r="T8" s="15">
        <f t="shared" si="2"/>
        <v>2.0958035477791317E-2</v>
      </c>
    </row>
    <row r="9" spans="1:20" x14ac:dyDescent="0.3">
      <c r="A9" s="1"/>
      <c r="B9" s="1"/>
      <c r="C9" s="1"/>
      <c r="D9" s="1"/>
      <c r="E9" s="1"/>
      <c r="F9" s="1"/>
      <c r="G9" s="9" t="s">
        <v>1302</v>
      </c>
      <c r="H9" s="9" t="s">
        <v>39</v>
      </c>
      <c r="I9" s="9" t="s">
        <v>1296</v>
      </c>
      <c r="J9" s="9" t="s">
        <v>1912</v>
      </c>
      <c r="K9" s="3" t="s">
        <v>1303</v>
      </c>
      <c r="L9" s="13" t="s">
        <v>1304</v>
      </c>
      <c r="M9" s="15">
        <f t="shared" si="3"/>
        <v>4.8321759259259245E-2</v>
      </c>
      <c r="N9">
        <f t="shared" si="4"/>
        <v>11</v>
      </c>
      <c r="P9">
        <v>7</v>
      </c>
      <c r="Q9">
        <f>COUNTIF(N:N,"7")</f>
        <v>40</v>
      </c>
      <c r="R9" s="26">
        <f t="shared" si="0"/>
        <v>26.458333333333332</v>
      </c>
      <c r="S9" s="15">
        <f t="shared" si="1"/>
        <v>2.0523726851851852E-2</v>
      </c>
      <c r="T9" s="15">
        <f t="shared" si="2"/>
        <v>2.0958035477791317E-2</v>
      </c>
    </row>
    <row r="10" spans="1:20" x14ac:dyDescent="0.3">
      <c r="A10" s="1"/>
      <c r="B10" s="1"/>
      <c r="C10" s="1"/>
      <c r="D10" s="1"/>
      <c r="E10" s="1"/>
      <c r="F10" s="1"/>
      <c r="G10" s="9" t="s">
        <v>1305</v>
      </c>
      <c r="H10" s="9" t="s">
        <v>39</v>
      </c>
      <c r="I10" s="9" t="s">
        <v>1296</v>
      </c>
      <c r="J10" s="9" t="s">
        <v>1912</v>
      </c>
      <c r="K10" s="3" t="s">
        <v>1306</v>
      </c>
      <c r="L10" s="13" t="s">
        <v>1307</v>
      </c>
      <c r="M10" s="15">
        <f t="shared" si="3"/>
        <v>2.3240740740740784E-2</v>
      </c>
      <c r="N10">
        <f t="shared" si="4"/>
        <v>14</v>
      </c>
      <c r="P10">
        <v>8</v>
      </c>
      <c r="Q10">
        <f>COUNTIF(N:N,"8")</f>
        <v>40</v>
      </c>
      <c r="R10" s="26">
        <f t="shared" si="0"/>
        <v>26.458333333333332</v>
      </c>
      <c r="S10" s="15">
        <f t="shared" si="1"/>
        <v>2.1837094907407394E-2</v>
      </c>
      <c r="T10" s="15">
        <f t="shared" si="2"/>
        <v>2.0958035477791317E-2</v>
      </c>
    </row>
    <row r="11" spans="1:20" x14ac:dyDescent="0.3">
      <c r="A11" s="1"/>
      <c r="B11" s="1"/>
      <c r="C11" s="1"/>
      <c r="D11" s="1"/>
      <c r="E11" s="1"/>
      <c r="F11" s="1"/>
      <c r="G11" s="9" t="s">
        <v>1308</v>
      </c>
      <c r="H11" s="9" t="s">
        <v>24</v>
      </c>
      <c r="I11" s="9" t="s">
        <v>1296</v>
      </c>
      <c r="J11" s="9" t="s">
        <v>1912</v>
      </c>
      <c r="K11" s="3" t="s">
        <v>1309</v>
      </c>
      <c r="L11" s="13" t="s">
        <v>1310</v>
      </c>
      <c r="M11" s="15">
        <f t="shared" si="3"/>
        <v>2.7870370370370323E-2</v>
      </c>
      <c r="N11">
        <f t="shared" si="4"/>
        <v>14</v>
      </c>
      <c r="P11">
        <v>9</v>
      </c>
      <c r="Q11">
        <f>COUNTIF(N:N,"9")</f>
        <v>57</v>
      </c>
      <c r="R11" s="26">
        <f t="shared" si="0"/>
        <v>26.458333333333332</v>
      </c>
      <c r="S11" s="15">
        <f t="shared" si="1"/>
        <v>2.1469501299545165E-2</v>
      </c>
      <c r="T11" s="15">
        <f t="shared" si="2"/>
        <v>2.0958035477791317E-2</v>
      </c>
    </row>
    <row r="12" spans="1:20" x14ac:dyDescent="0.3">
      <c r="A12" s="1"/>
      <c r="B12" s="1"/>
      <c r="C12" s="1"/>
      <c r="D12" s="1"/>
      <c r="E12" s="1"/>
      <c r="F12" s="1"/>
      <c r="G12" s="9" t="s">
        <v>1311</v>
      </c>
      <c r="H12" s="9" t="s">
        <v>24</v>
      </c>
      <c r="I12" s="9" t="s">
        <v>1296</v>
      </c>
      <c r="J12" s="9" t="s">
        <v>1912</v>
      </c>
      <c r="K12" s="3" t="s">
        <v>1312</v>
      </c>
      <c r="L12" s="13" t="s">
        <v>1313</v>
      </c>
      <c r="M12" s="15">
        <f t="shared" si="3"/>
        <v>2.2534722222222192E-2</v>
      </c>
      <c r="N12">
        <f t="shared" si="4"/>
        <v>14</v>
      </c>
      <c r="P12">
        <v>10</v>
      </c>
      <c r="Q12">
        <f>COUNTIF(N:N,"10")</f>
        <v>59</v>
      </c>
      <c r="R12" s="26">
        <f t="shared" si="0"/>
        <v>26.458333333333332</v>
      </c>
      <c r="S12" s="15">
        <f t="shared" si="1"/>
        <v>3.093475360954176E-2</v>
      </c>
      <c r="T12" s="15">
        <f t="shared" si="2"/>
        <v>2.0958035477791317E-2</v>
      </c>
    </row>
    <row r="13" spans="1:20" x14ac:dyDescent="0.3">
      <c r="A13" s="1"/>
      <c r="B13" s="1"/>
      <c r="C13" s="1"/>
      <c r="D13" s="1"/>
      <c r="E13" s="1"/>
      <c r="F13" s="1"/>
      <c r="G13" s="9" t="s">
        <v>1913</v>
      </c>
      <c r="H13" s="9" t="s">
        <v>39</v>
      </c>
      <c r="I13" s="9" t="s">
        <v>1914</v>
      </c>
      <c r="J13" s="9" t="s">
        <v>1912</v>
      </c>
      <c r="K13" s="3" t="s">
        <v>1915</v>
      </c>
      <c r="L13" s="13" t="s">
        <v>1916</v>
      </c>
      <c r="M13" s="15">
        <f t="shared" si="3"/>
        <v>2.1655092592592573E-2</v>
      </c>
      <c r="N13">
        <f t="shared" si="4"/>
        <v>15</v>
      </c>
      <c r="P13">
        <v>11</v>
      </c>
      <c r="Q13">
        <f>COUNTIF(N:N,"11")</f>
        <v>44</v>
      </c>
      <c r="R13" s="26">
        <f t="shared" si="0"/>
        <v>26.458333333333332</v>
      </c>
      <c r="S13" s="15">
        <f t="shared" si="1"/>
        <v>2.6713226010101013E-2</v>
      </c>
      <c r="T13" s="15">
        <f t="shared" si="2"/>
        <v>2.0958035477791317E-2</v>
      </c>
    </row>
    <row r="14" spans="1:20" x14ac:dyDescent="0.3">
      <c r="A14" s="1"/>
      <c r="B14" s="1"/>
      <c r="C14" s="1"/>
      <c r="D14" s="1"/>
      <c r="E14" s="1"/>
      <c r="F14" s="1"/>
      <c r="G14" s="9" t="s">
        <v>1917</v>
      </c>
      <c r="H14" s="9" t="s">
        <v>39</v>
      </c>
      <c r="I14" s="9" t="s">
        <v>1914</v>
      </c>
      <c r="J14" s="9" t="s">
        <v>1912</v>
      </c>
      <c r="K14" s="3" t="s">
        <v>1918</v>
      </c>
      <c r="L14" s="13" t="s">
        <v>1919</v>
      </c>
      <c r="M14" s="15">
        <f t="shared" si="3"/>
        <v>1.3553240740740602E-2</v>
      </c>
      <c r="N14">
        <f t="shared" si="4"/>
        <v>18</v>
      </c>
      <c r="P14">
        <v>12</v>
      </c>
      <c r="Q14">
        <f>COUNTIF(N:N,"12")</f>
        <v>45</v>
      </c>
      <c r="R14" s="26">
        <f t="shared" si="0"/>
        <v>26.458333333333332</v>
      </c>
      <c r="S14" s="15">
        <f t="shared" si="1"/>
        <v>2.619753086419753E-2</v>
      </c>
      <c r="T14" s="15">
        <f t="shared" si="2"/>
        <v>2.0958035477791317E-2</v>
      </c>
    </row>
    <row r="15" spans="1:20" x14ac:dyDescent="0.3">
      <c r="A15" s="1"/>
      <c r="B15" s="1"/>
      <c r="C15" s="1"/>
      <c r="D15" s="1"/>
      <c r="E15" s="1"/>
      <c r="F15" s="1"/>
      <c r="G15" s="9" t="s">
        <v>1920</v>
      </c>
      <c r="H15" s="9" t="s">
        <v>24</v>
      </c>
      <c r="I15" s="9" t="s">
        <v>1914</v>
      </c>
      <c r="J15" s="9" t="s">
        <v>1912</v>
      </c>
      <c r="K15" s="3" t="s">
        <v>1921</v>
      </c>
      <c r="L15" s="13" t="s">
        <v>1922</v>
      </c>
      <c r="M15" s="15">
        <f t="shared" si="3"/>
        <v>1.3819444444444384E-2</v>
      </c>
      <c r="N15">
        <f t="shared" si="4"/>
        <v>20</v>
      </c>
      <c r="P15">
        <v>13</v>
      </c>
      <c r="Q15">
        <f>COUNTIF(N:N,"13")</f>
        <v>42</v>
      </c>
      <c r="R15" s="26">
        <f t="shared" si="0"/>
        <v>26.458333333333332</v>
      </c>
      <c r="S15" s="15">
        <f t="shared" si="1"/>
        <v>2.6082727072310401E-2</v>
      </c>
      <c r="T15" s="15">
        <f t="shared" si="2"/>
        <v>2.0958035477791317E-2</v>
      </c>
    </row>
    <row r="16" spans="1:20" x14ac:dyDescent="0.3">
      <c r="A16" s="1"/>
      <c r="B16" s="1"/>
      <c r="C16" s="9" t="s">
        <v>20</v>
      </c>
      <c r="D16" s="9" t="s">
        <v>21</v>
      </c>
      <c r="E16" s="9" t="s">
        <v>21</v>
      </c>
      <c r="F16" s="9" t="s">
        <v>22</v>
      </c>
      <c r="G16" s="11" t="s">
        <v>19</v>
      </c>
      <c r="H16" s="2"/>
      <c r="I16" s="2"/>
      <c r="J16" s="7"/>
      <c r="K16" s="4"/>
      <c r="L16" s="12"/>
      <c r="P16">
        <v>14</v>
      </c>
      <c r="Q16">
        <f>COUNTIF(N:N,"14")</f>
        <v>37</v>
      </c>
      <c r="R16" s="26">
        <f t="shared" si="0"/>
        <v>26.458333333333332</v>
      </c>
      <c r="S16" s="15">
        <f t="shared" si="1"/>
        <v>2.8997747747747743E-2</v>
      </c>
      <c r="T16" s="15">
        <f t="shared" si="2"/>
        <v>2.0958035477791317E-2</v>
      </c>
    </row>
    <row r="17" spans="1:20" x14ac:dyDescent="0.3">
      <c r="A17" s="1"/>
      <c r="B17" s="1"/>
      <c r="C17" s="1"/>
      <c r="D17" s="1"/>
      <c r="E17" s="1"/>
      <c r="F17" s="1"/>
      <c r="G17" s="9" t="s">
        <v>23</v>
      </c>
      <c r="H17" s="9" t="s">
        <v>24</v>
      </c>
      <c r="I17" s="9" t="s">
        <v>25</v>
      </c>
      <c r="J17" s="9" t="s">
        <v>1912</v>
      </c>
      <c r="K17" s="3" t="s">
        <v>26</v>
      </c>
      <c r="L17" s="13" t="s">
        <v>1923</v>
      </c>
      <c r="M17" s="15">
        <f t="shared" si="3"/>
        <v>2.5231481481481438E-2</v>
      </c>
      <c r="N17">
        <f t="shared" si="4"/>
        <v>5</v>
      </c>
      <c r="P17">
        <v>15</v>
      </c>
      <c r="Q17">
        <f>COUNTIF(N:N,"15")</f>
        <v>25</v>
      </c>
      <c r="R17" s="26">
        <f t="shared" si="0"/>
        <v>26.458333333333332</v>
      </c>
      <c r="S17" s="15">
        <f t="shared" si="1"/>
        <v>2.3784259259259269E-2</v>
      </c>
      <c r="T17" s="15">
        <f t="shared" si="2"/>
        <v>2.0958035477791317E-2</v>
      </c>
    </row>
    <row r="18" spans="1:20" x14ac:dyDescent="0.3">
      <c r="A18" s="1"/>
      <c r="B18" s="1"/>
      <c r="C18" s="1"/>
      <c r="D18" s="1"/>
      <c r="E18" s="1"/>
      <c r="F18" s="1"/>
      <c r="G18" s="9" t="s">
        <v>28</v>
      </c>
      <c r="H18" s="9" t="s">
        <v>24</v>
      </c>
      <c r="I18" s="9" t="s">
        <v>25</v>
      </c>
      <c r="J18" s="9" t="s">
        <v>1912</v>
      </c>
      <c r="K18" s="3" t="s">
        <v>29</v>
      </c>
      <c r="L18" s="13" t="s">
        <v>30</v>
      </c>
      <c r="M18" s="15">
        <f t="shared" si="3"/>
        <v>1.2824074074074043E-2</v>
      </c>
      <c r="N18">
        <f t="shared" si="4"/>
        <v>7</v>
      </c>
      <c r="P18">
        <v>16</v>
      </c>
      <c r="Q18">
        <f>COUNTIF(N:N,"16")</f>
        <v>24</v>
      </c>
      <c r="R18" s="26">
        <f t="shared" si="0"/>
        <v>26.458333333333332</v>
      </c>
      <c r="S18" s="15">
        <f t="shared" si="1"/>
        <v>2.4693287037037031E-2</v>
      </c>
      <c r="T18" s="15">
        <f t="shared" si="2"/>
        <v>2.0958035477791317E-2</v>
      </c>
    </row>
    <row r="19" spans="1:20" x14ac:dyDescent="0.3">
      <c r="A19" s="1"/>
      <c r="B19" s="1"/>
      <c r="C19" s="1"/>
      <c r="D19" s="1"/>
      <c r="E19" s="1"/>
      <c r="F19" s="1"/>
      <c r="G19" s="9" t="s">
        <v>815</v>
      </c>
      <c r="H19" s="9" t="s">
        <v>24</v>
      </c>
      <c r="I19" s="9" t="s">
        <v>486</v>
      </c>
      <c r="J19" s="9" t="s">
        <v>1912</v>
      </c>
      <c r="K19" s="3" t="s">
        <v>816</v>
      </c>
      <c r="L19" s="13" t="s">
        <v>817</v>
      </c>
      <c r="M19" s="15">
        <f t="shared" si="3"/>
        <v>2.8298611111111094E-2</v>
      </c>
      <c r="N19">
        <f t="shared" si="4"/>
        <v>7</v>
      </c>
      <c r="P19">
        <v>17</v>
      </c>
      <c r="Q19">
        <f>COUNTIF(N:N,"17")</f>
        <v>30</v>
      </c>
      <c r="R19" s="26">
        <f t="shared" si="0"/>
        <v>26.458333333333332</v>
      </c>
      <c r="S19" s="15">
        <f t="shared" si="1"/>
        <v>1.9790509259259282E-2</v>
      </c>
      <c r="T19" s="15">
        <f t="shared" si="2"/>
        <v>2.0958035477791317E-2</v>
      </c>
    </row>
    <row r="20" spans="1:20" x14ac:dyDescent="0.3">
      <c r="A20" s="1"/>
      <c r="B20" s="1"/>
      <c r="C20" s="1"/>
      <c r="D20" s="1"/>
      <c r="E20" s="1"/>
      <c r="F20" s="1"/>
      <c r="G20" s="9" t="s">
        <v>818</v>
      </c>
      <c r="H20" s="9" t="s">
        <v>24</v>
      </c>
      <c r="I20" s="9" t="s">
        <v>486</v>
      </c>
      <c r="J20" s="9" t="s">
        <v>1912</v>
      </c>
      <c r="K20" s="3" t="s">
        <v>819</v>
      </c>
      <c r="L20" s="13" t="s">
        <v>820</v>
      </c>
      <c r="M20" s="15">
        <f t="shared" si="3"/>
        <v>3.543981481481473E-2</v>
      </c>
      <c r="N20">
        <f t="shared" si="4"/>
        <v>14</v>
      </c>
      <c r="P20">
        <v>18</v>
      </c>
      <c r="Q20">
        <f>COUNTIF(N:N,"18")</f>
        <v>18</v>
      </c>
      <c r="R20" s="26">
        <f t="shared" si="0"/>
        <v>26.458333333333332</v>
      </c>
      <c r="S20" s="15">
        <f t="shared" si="1"/>
        <v>1.92624742798354E-2</v>
      </c>
      <c r="T20" s="15">
        <f t="shared" si="2"/>
        <v>2.0958035477791317E-2</v>
      </c>
    </row>
    <row r="21" spans="1:20" x14ac:dyDescent="0.3">
      <c r="A21" s="1"/>
      <c r="B21" s="1"/>
      <c r="C21" s="1"/>
      <c r="D21" s="1"/>
      <c r="E21" s="1"/>
      <c r="F21" s="1"/>
      <c r="G21" s="9" t="s">
        <v>1220</v>
      </c>
      <c r="H21" s="9" t="s">
        <v>24</v>
      </c>
      <c r="I21" s="9" t="s">
        <v>926</v>
      </c>
      <c r="J21" s="9" t="s">
        <v>1912</v>
      </c>
      <c r="K21" s="3" t="s">
        <v>1221</v>
      </c>
      <c r="L21" s="13" t="s">
        <v>1222</v>
      </c>
      <c r="M21" s="15">
        <f t="shared" si="3"/>
        <v>2.6655092592592577E-2</v>
      </c>
      <c r="N21">
        <f t="shared" si="4"/>
        <v>7</v>
      </c>
      <c r="P21">
        <v>19</v>
      </c>
      <c r="Q21">
        <f>COUNTIF(N:N,"19")</f>
        <v>9</v>
      </c>
      <c r="R21" s="26">
        <f t="shared" si="0"/>
        <v>26.458333333333332</v>
      </c>
      <c r="S21" s="15">
        <f t="shared" si="1"/>
        <v>2.0434670781893056E-2</v>
      </c>
      <c r="T21" s="15">
        <f t="shared" si="2"/>
        <v>2.0958035477791317E-2</v>
      </c>
    </row>
    <row r="22" spans="1:20" x14ac:dyDescent="0.3">
      <c r="A22" s="1"/>
      <c r="B22" s="1"/>
      <c r="C22" s="1"/>
      <c r="D22" s="1"/>
      <c r="E22" s="1"/>
      <c r="F22" s="1"/>
      <c r="G22" s="9" t="s">
        <v>1223</v>
      </c>
      <c r="H22" s="9" t="s">
        <v>24</v>
      </c>
      <c r="I22" s="9" t="s">
        <v>926</v>
      </c>
      <c r="J22" s="9" t="s">
        <v>1912</v>
      </c>
      <c r="K22" s="3" t="s">
        <v>1224</v>
      </c>
      <c r="L22" s="13" t="s">
        <v>1225</v>
      </c>
      <c r="M22" s="15">
        <f t="shared" si="3"/>
        <v>2.5682870370370425E-2</v>
      </c>
      <c r="N22">
        <f t="shared" si="4"/>
        <v>9</v>
      </c>
      <c r="P22">
        <v>20</v>
      </c>
      <c r="Q22">
        <f>COUNTIF(N:N,"20")</f>
        <v>18</v>
      </c>
      <c r="R22" s="26">
        <f t="shared" si="0"/>
        <v>26.458333333333332</v>
      </c>
      <c r="S22" s="15">
        <f t="shared" si="1"/>
        <v>1.571437757201645E-2</v>
      </c>
      <c r="T22" s="15">
        <f t="shared" si="2"/>
        <v>2.0958035477791317E-2</v>
      </c>
    </row>
    <row r="23" spans="1:20" x14ac:dyDescent="0.3">
      <c r="A23" s="1"/>
      <c r="B23" s="1"/>
      <c r="C23" s="1"/>
      <c r="D23" s="1"/>
      <c r="E23" s="1"/>
      <c r="F23" s="1"/>
      <c r="G23" s="9" t="s">
        <v>1314</v>
      </c>
      <c r="H23" s="9" t="s">
        <v>39</v>
      </c>
      <c r="I23" s="9" t="s">
        <v>1296</v>
      </c>
      <c r="J23" s="9" t="s">
        <v>1912</v>
      </c>
      <c r="K23" s="3" t="s">
        <v>1315</v>
      </c>
      <c r="L23" s="13" t="s">
        <v>1316</v>
      </c>
      <c r="M23" s="15">
        <f t="shared" si="3"/>
        <v>1.3807870370370373E-2</v>
      </c>
      <c r="N23">
        <f t="shared" si="4"/>
        <v>5</v>
      </c>
      <c r="P23">
        <v>21</v>
      </c>
      <c r="Q23">
        <f>COUNTIF(N:N,"21")</f>
        <v>6</v>
      </c>
      <c r="R23" s="26">
        <f t="shared" si="0"/>
        <v>26.458333333333332</v>
      </c>
      <c r="S23" s="15">
        <f t="shared" si="1"/>
        <v>1.5565200617283928E-2</v>
      </c>
      <c r="T23" s="15">
        <f t="shared" si="2"/>
        <v>2.0958035477791317E-2</v>
      </c>
    </row>
    <row r="24" spans="1:20" x14ac:dyDescent="0.3">
      <c r="A24" s="1"/>
      <c r="B24" s="1"/>
      <c r="C24" s="1"/>
      <c r="D24" s="1"/>
      <c r="E24" s="1"/>
      <c r="F24" s="1"/>
      <c r="G24" s="9" t="s">
        <v>1317</v>
      </c>
      <c r="H24" s="9" t="s">
        <v>24</v>
      </c>
      <c r="I24" s="9" t="s">
        <v>1296</v>
      </c>
      <c r="J24" s="9" t="s">
        <v>1912</v>
      </c>
      <c r="K24" s="3" t="s">
        <v>1318</v>
      </c>
      <c r="L24" s="13" t="s">
        <v>1319</v>
      </c>
      <c r="M24" s="15">
        <f t="shared" si="3"/>
        <v>1.6655092592592596E-2</v>
      </c>
      <c r="N24">
        <f t="shared" si="4"/>
        <v>5</v>
      </c>
      <c r="P24">
        <v>22</v>
      </c>
      <c r="Q24">
        <f>COUNTIF(N:N,"22")</f>
        <v>5</v>
      </c>
      <c r="R24" s="26">
        <f t="shared" si="0"/>
        <v>26.458333333333332</v>
      </c>
      <c r="S24" s="15">
        <f t="shared" si="1"/>
        <v>1.6277777777777769E-2</v>
      </c>
      <c r="T24" s="15">
        <f t="shared" si="2"/>
        <v>2.0958035477791317E-2</v>
      </c>
    </row>
    <row r="25" spans="1:20" x14ac:dyDescent="0.3">
      <c r="A25" s="1"/>
      <c r="B25" s="1"/>
      <c r="C25" s="1"/>
      <c r="D25" s="1"/>
      <c r="E25" s="1"/>
      <c r="F25" s="1"/>
      <c r="G25" s="9" t="s">
        <v>1320</v>
      </c>
      <c r="H25" s="9" t="s">
        <v>24</v>
      </c>
      <c r="I25" s="9" t="s">
        <v>1296</v>
      </c>
      <c r="J25" s="9" t="s">
        <v>1912</v>
      </c>
      <c r="K25" s="3" t="s">
        <v>1321</v>
      </c>
      <c r="L25" s="13" t="s">
        <v>1322</v>
      </c>
      <c r="M25" s="15">
        <f t="shared" si="3"/>
        <v>1.7905092592592597E-2</v>
      </c>
      <c r="N25">
        <f t="shared" si="4"/>
        <v>9</v>
      </c>
      <c r="P25">
        <v>23</v>
      </c>
      <c r="Q25">
        <f>COUNTIF(N:N,"23")</f>
        <v>7</v>
      </c>
      <c r="R25" s="26">
        <f t="shared" si="0"/>
        <v>26.458333333333332</v>
      </c>
      <c r="S25" s="15">
        <f t="shared" si="1"/>
        <v>1.913194444444442E-2</v>
      </c>
      <c r="T25" s="15">
        <f t="shared" si="2"/>
        <v>2.0958035477791317E-2</v>
      </c>
    </row>
    <row r="26" spans="1:20" x14ac:dyDescent="0.3">
      <c r="A26" s="1"/>
      <c r="B26" s="1"/>
      <c r="C26" s="1"/>
      <c r="D26" s="1"/>
      <c r="E26" s="1"/>
      <c r="F26" s="1"/>
      <c r="G26" s="9" t="s">
        <v>1323</v>
      </c>
      <c r="H26" s="9" t="s">
        <v>24</v>
      </c>
      <c r="I26" s="9" t="s">
        <v>1296</v>
      </c>
      <c r="J26" s="9" t="s">
        <v>1912</v>
      </c>
      <c r="K26" s="3" t="s">
        <v>523</v>
      </c>
      <c r="L26" s="13" t="s">
        <v>1324</v>
      </c>
      <c r="M26" s="15">
        <f t="shared" si="3"/>
        <v>2.1249999999999991E-2</v>
      </c>
      <c r="N26">
        <f t="shared" si="4"/>
        <v>15</v>
      </c>
    </row>
    <row r="27" spans="1:20" x14ac:dyDescent="0.3">
      <c r="A27" s="1"/>
      <c r="B27" s="1"/>
      <c r="C27" s="1"/>
      <c r="D27" s="1"/>
      <c r="E27" s="1"/>
      <c r="F27" s="1"/>
      <c r="G27" s="9" t="s">
        <v>1924</v>
      </c>
      <c r="H27" s="9" t="s">
        <v>24</v>
      </c>
      <c r="I27" s="9" t="s">
        <v>1914</v>
      </c>
      <c r="J27" s="9" t="s">
        <v>1912</v>
      </c>
      <c r="K27" s="3" t="s">
        <v>1925</v>
      </c>
      <c r="L27" s="13" t="s">
        <v>1926</v>
      </c>
      <c r="M27" s="15">
        <f t="shared" si="3"/>
        <v>2.1990740740740755E-2</v>
      </c>
      <c r="N27">
        <f t="shared" si="4"/>
        <v>9</v>
      </c>
    </row>
    <row r="28" spans="1:20" x14ac:dyDescent="0.3">
      <c r="A28" s="1"/>
      <c r="B28" s="1"/>
      <c r="C28" s="9" t="s">
        <v>1927</v>
      </c>
      <c r="D28" s="9" t="s">
        <v>1928</v>
      </c>
      <c r="E28" s="9" t="s">
        <v>1928</v>
      </c>
      <c r="F28" s="9" t="s">
        <v>22</v>
      </c>
      <c r="G28" s="9" t="s">
        <v>1929</v>
      </c>
      <c r="H28" s="9" t="s">
        <v>39</v>
      </c>
      <c r="I28" s="9" t="s">
        <v>1914</v>
      </c>
      <c r="J28" s="9" t="s">
        <v>1912</v>
      </c>
      <c r="K28" s="3" t="s">
        <v>1930</v>
      </c>
      <c r="L28" s="13" t="s">
        <v>1931</v>
      </c>
      <c r="M28" s="15">
        <f t="shared" si="3"/>
        <v>1.4918981481481519E-2</v>
      </c>
      <c r="N28">
        <f t="shared" si="4"/>
        <v>12</v>
      </c>
    </row>
    <row r="29" spans="1:20" x14ac:dyDescent="0.3">
      <c r="A29" s="1"/>
      <c r="B29" s="1"/>
      <c r="C29" s="9" t="s">
        <v>93</v>
      </c>
      <c r="D29" s="9" t="s">
        <v>94</v>
      </c>
      <c r="E29" s="9" t="s">
        <v>164</v>
      </c>
      <c r="F29" s="9" t="s">
        <v>22</v>
      </c>
      <c r="G29" s="11" t="s">
        <v>19</v>
      </c>
      <c r="H29" s="2"/>
      <c r="I29" s="2"/>
      <c r="J29" s="7"/>
      <c r="K29" s="4"/>
      <c r="L29" s="12"/>
    </row>
    <row r="30" spans="1:20" x14ac:dyDescent="0.3">
      <c r="A30" s="1"/>
      <c r="B30" s="1"/>
      <c r="C30" s="1"/>
      <c r="D30" s="1"/>
      <c r="E30" s="1"/>
      <c r="F30" s="1"/>
      <c r="G30" s="9" t="s">
        <v>1325</v>
      </c>
      <c r="H30" s="9" t="s">
        <v>39</v>
      </c>
      <c r="I30" s="9" t="s">
        <v>1296</v>
      </c>
      <c r="J30" s="9" t="s">
        <v>1912</v>
      </c>
      <c r="K30" s="3" t="s">
        <v>1326</v>
      </c>
      <c r="L30" s="13" t="s">
        <v>1327</v>
      </c>
      <c r="M30" s="15">
        <f t="shared" si="3"/>
        <v>2.5879629629629641E-2</v>
      </c>
      <c r="N30">
        <f t="shared" si="4"/>
        <v>6</v>
      </c>
    </row>
    <row r="31" spans="1:20" x14ac:dyDescent="0.3">
      <c r="A31" s="1"/>
      <c r="B31" s="1"/>
      <c r="C31" s="1"/>
      <c r="D31" s="1"/>
      <c r="E31" s="1"/>
      <c r="F31" s="1"/>
      <c r="G31" s="9" t="s">
        <v>1328</v>
      </c>
      <c r="H31" s="9" t="s">
        <v>39</v>
      </c>
      <c r="I31" s="9" t="s">
        <v>1296</v>
      </c>
      <c r="J31" s="9" t="s">
        <v>1912</v>
      </c>
      <c r="K31" s="3" t="s">
        <v>1329</v>
      </c>
      <c r="L31" s="13" t="s">
        <v>1330</v>
      </c>
      <c r="M31" s="15">
        <f t="shared" si="3"/>
        <v>2.1967592592592622E-2</v>
      </c>
      <c r="N31">
        <f t="shared" si="4"/>
        <v>13</v>
      </c>
    </row>
    <row r="32" spans="1:20" x14ac:dyDescent="0.3">
      <c r="A32" s="1"/>
      <c r="B32" s="1"/>
      <c r="C32" s="9" t="s">
        <v>31</v>
      </c>
      <c r="D32" s="9" t="s">
        <v>32</v>
      </c>
      <c r="E32" s="9" t="s">
        <v>32</v>
      </c>
      <c r="F32" s="9" t="s">
        <v>22</v>
      </c>
      <c r="G32" s="11" t="s">
        <v>19</v>
      </c>
      <c r="H32" s="2"/>
      <c r="I32" s="2"/>
      <c r="J32" s="7"/>
      <c r="K32" s="4"/>
      <c r="L32" s="12"/>
    </row>
    <row r="33" spans="1:14" x14ac:dyDescent="0.3">
      <c r="A33" s="1"/>
      <c r="B33" s="1"/>
      <c r="C33" s="1"/>
      <c r="D33" s="1"/>
      <c r="E33" s="1"/>
      <c r="F33" s="1"/>
      <c r="G33" s="9" t="s">
        <v>33</v>
      </c>
      <c r="H33" s="9" t="s">
        <v>24</v>
      </c>
      <c r="I33" s="9" t="s">
        <v>25</v>
      </c>
      <c r="J33" s="9" t="s">
        <v>1912</v>
      </c>
      <c r="K33" s="3" t="s">
        <v>34</v>
      </c>
      <c r="L33" s="13" t="s">
        <v>35</v>
      </c>
      <c r="M33" s="15">
        <f t="shared" si="3"/>
        <v>2.4050925925925948E-2</v>
      </c>
      <c r="N33">
        <f t="shared" si="4"/>
        <v>13</v>
      </c>
    </row>
    <row r="34" spans="1:14" x14ac:dyDescent="0.3">
      <c r="A34" s="1"/>
      <c r="B34" s="1"/>
      <c r="C34" s="1"/>
      <c r="D34" s="1"/>
      <c r="E34" s="1"/>
      <c r="F34" s="1"/>
      <c r="G34" s="9" t="s">
        <v>821</v>
      </c>
      <c r="H34" s="9" t="s">
        <v>39</v>
      </c>
      <c r="I34" s="9" t="s">
        <v>486</v>
      </c>
      <c r="J34" s="9" t="s">
        <v>1912</v>
      </c>
      <c r="K34" s="3" t="s">
        <v>822</v>
      </c>
      <c r="L34" s="13" t="s">
        <v>823</v>
      </c>
      <c r="M34" s="15">
        <f t="shared" si="3"/>
        <v>2.3171296296296329E-2</v>
      </c>
      <c r="N34">
        <f t="shared" si="4"/>
        <v>17</v>
      </c>
    </row>
    <row r="35" spans="1:14" x14ac:dyDescent="0.3">
      <c r="A35" s="1"/>
      <c r="B35" s="1"/>
      <c r="C35" s="1"/>
      <c r="D35" s="1"/>
      <c r="E35" s="1"/>
      <c r="F35" s="1"/>
      <c r="G35" s="9" t="s">
        <v>1331</v>
      </c>
      <c r="H35" s="9" t="s">
        <v>39</v>
      </c>
      <c r="I35" s="9" t="s">
        <v>1296</v>
      </c>
      <c r="J35" s="9" t="s">
        <v>1912</v>
      </c>
      <c r="K35" s="3" t="s">
        <v>1332</v>
      </c>
      <c r="L35" s="13" t="s">
        <v>1333</v>
      </c>
      <c r="M35" s="15">
        <f t="shared" si="3"/>
        <v>2.5532407407407476E-2</v>
      </c>
      <c r="N35">
        <f t="shared" si="4"/>
        <v>17</v>
      </c>
    </row>
    <row r="36" spans="1:14" x14ac:dyDescent="0.3">
      <c r="A36" s="1"/>
      <c r="B36" s="1"/>
      <c r="C36" s="9" t="s">
        <v>824</v>
      </c>
      <c r="D36" s="9" t="s">
        <v>825</v>
      </c>
      <c r="E36" s="9" t="s">
        <v>825</v>
      </c>
      <c r="F36" s="9" t="s">
        <v>22</v>
      </c>
      <c r="G36" s="11" t="s">
        <v>19</v>
      </c>
      <c r="H36" s="2"/>
      <c r="I36" s="2"/>
      <c r="J36" s="7"/>
      <c r="K36" s="4"/>
      <c r="L36" s="12"/>
    </row>
    <row r="37" spans="1:14" x14ac:dyDescent="0.3">
      <c r="A37" s="1"/>
      <c r="B37" s="1"/>
      <c r="C37" s="1"/>
      <c r="D37" s="1"/>
      <c r="E37" s="1"/>
      <c r="F37" s="1"/>
      <c r="G37" s="9" t="s">
        <v>826</v>
      </c>
      <c r="H37" s="9" t="s">
        <v>24</v>
      </c>
      <c r="I37" s="9" t="s">
        <v>486</v>
      </c>
      <c r="J37" s="9" t="s">
        <v>1912</v>
      </c>
      <c r="K37" s="3" t="s">
        <v>827</v>
      </c>
      <c r="L37" s="13" t="s">
        <v>828</v>
      </c>
      <c r="M37" s="15">
        <f t="shared" si="3"/>
        <v>1.7037037037036962E-2</v>
      </c>
      <c r="N37">
        <f t="shared" si="4"/>
        <v>15</v>
      </c>
    </row>
    <row r="38" spans="1:14" x14ac:dyDescent="0.3">
      <c r="A38" s="1"/>
      <c r="B38" s="1"/>
      <c r="C38" s="1"/>
      <c r="D38" s="1"/>
      <c r="E38" s="1"/>
      <c r="F38" s="1"/>
      <c r="G38" s="9" t="s">
        <v>1226</v>
      </c>
      <c r="H38" s="9" t="s">
        <v>24</v>
      </c>
      <c r="I38" s="9" t="s">
        <v>926</v>
      </c>
      <c r="J38" s="9" t="s">
        <v>1912</v>
      </c>
      <c r="K38" s="3" t="s">
        <v>1227</v>
      </c>
      <c r="L38" s="13" t="s">
        <v>1228</v>
      </c>
      <c r="M38" s="15">
        <f t="shared" si="3"/>
        <v>1.6828703703703707E-2</v>
      </c>
      <c r="N38">
        <f t="shared" si="4"/>
        <v>15</v>
      </c>
    </row>
    <row r="39" spans="1:14" x14ac:dyDescent="0.3">
      <c r="A39" s="1"/>
      <c r="B39" s="1"/>
      <c r="C39" s="9" t="s">
        <v>36</v>
      </c>
      <c r="D39" s="9" t="s">
        <v>37</v>
      </c>
      <c r="E39" s="9" t="s">
        <v>37</v>
      </c>
      <c r="F39" s="9" t="s">
        <v>22</v>
      </c>
      <c r="G39" s="11" t="s">
        <v>19</v>
      </c>
      <c r="H39" s="2"/>
      <c r="I39" s="2"/>
      <c r="J39" s="7"/>
      <c r="K39" s="4"/>
      <c r="L39" s="12"/>
    </row>
    <row r="40" spans="1:14" x14ac:dyDescent="0.3">
      <c r="A40" s="1"/>
      <c r="B40" s="1"/>
      <c r="C40" s="1"/>
      <c r="D40" s="1"/>
      <c r="E40" s="1"/>
      <c r="F40" s="1"/>
      <c r="G40" s="9" t="s">
        <v>38</v>
      </c>
      <c r="H40" s="9" t="s">
        <v>39</v>
      </c>
      <c r="I40" s="9" t="s">
        <v>25</v>
      </c>
      <c r="J40" s="9" t="s">
        <v>1912</v>
      </c>
      <c r="K40" s="3" t="s">
        <v>40</v>
      </c>
      <c r="L40" s="13" t="s">
        <v>41</v>
      </c>
      <c r="M40" s="15">
        <f t="shared" si="3"/>
        <v>3.8726851851851873E-2</v>
      </c>
      <c r="N40">
        <f t="shared" si="4"/>
        <v>10</v>
      </c>
    </row>
    <row r="41" spans="1:14" x14ac:dyDescent="0.3">
      <c r="A41" s="1"/>
      <c r="B41" s="1"/>
      <c r="C41" s="1"/>
      <c r="D41" s="1"/>
      <c r="E41" s="1"/>
      <c r="F41" s="1"/>
      <c r="G41" s="9" t="s">
        <v>1229</v>
      </c>
      <c r="H41" s="9" t="s">
        <v>39</v>
      </c>
      <c r="I41" s="9" t="s">
        <v>926</v>
      </c>
      <c r="J41" s="9" t="s">
        <v>1912</v>
      </c>
      <c r="K41" s="3" t="s">
        <v>1230</v>
      </c>
      <c r="L41" s="13" t="s">
        <v>1231</v>
      </c>
      <c r="M41" s="15">
        <f t="shared" si="3"/>
        <v>2.0150462962962967E-2</v>
      </c>
      <c r="N41">
        <f t="shared" si="4"/>
        <v>5</v>
      </c>
    </row>
    <row r="42" spans="1:14" x14ac:dyDescent="0.3">
      <c r="A42" s="1"/>
      <c r="B42" s="1"/>
      <c r="C42" s="1"/>
      <c r="D42" s="1"/>
      <c r="E42" s="1"/>
      <c r="F42" s="1"/>
      <c r="G42" s="9" t="s">
        <v>1232</v>
      </c>
      <c r="H42" s="9" t="s">
        <v>39</v>
      </c>
      <c r="I42" s="9" t="s">
        <v>926</v>
      </c>
      <c r="J42" s="9" t="s">
        <v>1912</v>
      </c>
      <c r="K42" s="3" t="s">
        <v>1233</v>
      </c>
      <c r="L42" s="13" t="s">
        <v>1234</v>
      </c>
      <c r="M42" s="15">
        <f t="shared" si="3"/>
        <v>2.7465277777777741E-2</v>
      </c>
      <c r="N42">
        <f t="shared" si="4"/>
        <v>13</v>
      </c>
    </row>
    <row r="43" spans="1:14" x14ac:dyDescent="0.3">
      <c r="A43" s="1"/>
      <c r="B43" s="1"/>
      <c r="C43" s="1"/>
      <c r="D43" s="1"/>
      <c r="E43" s="1"/>
      <c r="F43" s="1"/>
      <c r="G43" s="9" t="s">
        <v>1334</v>
      </c>
      <c r="H43" s="9" t="s">
        <v>39</v>
      </c>
      <c r="I43" s="9" t="s">
        <v>1296</v>
      </c>
      <c r="J43" s="9" t="s">
        <v>1912</v>
      </c>
      <c r="K43" s="3" t="s">
        <v>1335</v>
      </c>
      <c r="L43" s="13" t="s">
        <v>754</v>
      </c>
      <c r="M43" s="15">
        <f t="shared" si="3"/>
        <v>1.3969907407407389E-2</v>
      </c>
      <c r="N43">
        <f t="shared" si="4"/>
        <v>10</v>
      </c>
    </row>
    <row r="44" spans="1:14" x14ac:dyDescent="0.3">
      <c r="A44" s="1"/>
      <c r="B44" s="1"/>
      <c r="C44" s="1"/>
      <c r="D44" s="1"/>
      <c r="E44" s="1"/>
      <c r="F44" s="1"/>
      <c r="G44" s="9" t="s">
        <v>1932</v>
      </c>
      <c r="H44" s="9" t="s">
        <v>24</v>
      </c>
      <c r="I44" s="9" t="s">
        <v>1914</v>
      </c>
      <c r="J44" s="9" t="s">
        <v>1912</v>
      </c>
      <c r="K44" s="3" t="s">
        <v>1933</v>
      </c>
      <c r="L44" s="13" t="s">
        <v>1934</v>
      </c>
      <c r="M44" s="15">
        <f t="shared" si="3"/>
        <v>2.9999999999999971E-2</v>
      </c>
      <c r="N44">
        <f t="shared" si="4"/>
        <v>9</v>
      </c>
    </row>
    <row r="45" spans="1:14" x14ac:dyDescent="0.3">
      <c r="A45" s="1"/>
      <c r="B45" s="1"/>
      <c r="C45" s="9" t="s">
        <v>42</v>
      </c>
      <c r="D45" s="9" t="s">
        <v>43</v>
      </c>
      <c r="E45" s="9" t="s">
        <v>43</v>
      </c>
      <c r="F45" s="9" t="s">
        <v>22</v>
      </c>
      <c r="G45" s="9" t="s">
        <v>44</v>
      </c>
      <c r="H45" s="9" t="s">
        <v>24</v>
      </c>
      <c r="I45" s="9" t="s">
        <v>25</v>
      </c>
      <c r="J45" s="9" t="s">
        <v>1912</v>
      </c>
      <c r="K45" s="3" t="s">
        <v>45</v>
      </c>
      <c r="L45" s="13" t="s">
        <v>46</v>
      </c>
      <c r="M45" s="15">
        <f t="shared" si="3"/>
        <v>2.5752314814814881E-2</v>
      </c>
      <c r="N45">
        <f t="shared" si="4"/>
        <v>12</v>
      </c>
    </row>
    <row r="46" spans="1:14" x14ac:dyDescent="0.3">
      <c r="A46" s="1"/>
      <c r="B46" s="1"/>
      <c r="C46" s="9" t="s">
        <v>47</v>
      </c>
      <c r="D46" s="9" t="s">
        <v>48</v>
      </c>
      <c r="E46" s="9" t="s">
        <v>48</v>
      </c>
      <c r="F46" s="9" t="s">
        <v>22</v>
      </c>
      <c r="G46" s="11" t="s">
        <v>19</v>
      </c>
      <c r="H46" s="2"/>
      <c r="I46" s="2"/>
      <c r="J46" s="7"/>
      <c r="K46" s="4"/>
      <c r="L46" s="12"/>
    </row>
    <row r="47" spans="1:14" x14ac:dyDescent="0.3">
      <c r="A47" s="1"/>
      <c r="B47" s="1"/>
      <c r="C47" s="1"/>
      <c r="D47" s="1"/>
      <c r="E47" s="1"/>
      <c r="F47" s="1"/>
      <c r="G47" s="9" t="s">
        <v>49</v>
      </c>
      <c r="H47" s="9" t="s">
        <v>39</v>
      </c>
      <c r="I47" s="9" t="s">
        <v>25</v>
      </c>
      <c r="J47" s="9" t="s">
        <v>1912</v>
      </c>
      <c r="K47" s="3" t="s">
        <v>50</v>
      </c>
      <c r="L47" s="13" t="s">
        <v>51</v>
      </c>
      <c r="M47" s="15">
        <f t="shared" si="3"/>
        <v>2.3807870370370354E-2</v>
      </c>
      <c r="N47">
        <f t="shared" si="4"/>
        <v>8</v>
      </c>
    </row>
    <row r="48" spans="1:14" x14ac:dyDescent="0.3">
      <c r="A48" s="1"/>
      <c r="B48" s="1"/>
      <c r="C48" s="1"/>
      <c r="D48" s="1"/>
      <c r="E48" s="1"/>
      <c r="F48" s="1"/>
      <c r="G48" s="9" t="s">
        <v>52</v>
      </c>
      <c r="H48" s="9" t="s">
        <v>24</v>
      </c>
      <c r="I48" s="9" t="s">
        <v>25</v>
      </c>
      <c r="J48" s="9" t="s">
        <v>1912</v>
      </c>
      <c r="K48" s="3" t="s">
        <v>53</v>
      </c>
      <c r="L48" s="13" t="s">
        <v>54</v>
      </c>
      <c r="M48" s="15">
        <f t="shared" si="3"/>
        <v>2.5821759259259225E-2</v>
      </c>
      <c r="N48">
        <f t="shared" si="4"/>
        <v>12</v>
      </c>
    </row>
    <row r="49" spans="1:14" x14ac:dyDescent="0.3">
      <c r="A49" s="1"/>
      <c r="B49" s="1"/>
      <c r="C49" s="1"/>
      <c r="D49" s="1"/>
      <c r="E49" s="1"/>
      <c r="F49" s="1"/>
      <c r="G49" s="9" t="s">
        <v>55</v>
      </c>
      <c r="H49" s="9" t="s">
        <v>39</v>
      </c>
      <c r="I49" s="9" t="s">
        <v>25</v>
      </c>
      <c r="J49" s="9" t="s">
        <v>1912</v>
      </c>
      <c r="K49" s="3" t="s">
        <v>56</v>
      </c>
      <c r="L49" s="13" t="s">
        <v>57</v>
      </c>
      <c r="M49" s="15">
        <f t="shared" si="3"/>
        <v>1.864583333333325E-2</v>
      </c>
      <c r="N49">
        <f t="shared" si="4"/>
        <v>16</v>
      </c>
    </row>
    <row r="50" spans="1:14" x14ac:dyDescent="0.3">
      <c r="A50" s="1"/>
      <c r="B50" s="1"/>
      <c r="C50" s="1"/>
      <c r="D50" s="1"/>
      <c r="E50" s="1"/>
      <c r="F50" s="1"/>
      <c r="G50" s="9" t="s">
        <v>829</v>
      </c>
      <c r="H50" s="9" t="s">
        <v>39</v>
      </c>
      <c r="I50" s="9" t="s">
        <v>486</v>
      </c>
      <c r="J50" s="9" t="s">
        <v>1912</v>
      </c>
      <c r="K50" s="3" t="s">
        <v>830</v>
      </c>
      <c r="L50" s="13" t="s">
        <v>831</v>
      </c>
      <c r="M50" s="15">
        <f t="shared" si="3"/>
        <v>1.9131944444444438E-2</v>
      </c>
      <c r="N50">
        <f t="shared" si="4"/>
        <v>8</v>
      </c>
    </row>
    <row r="51" spans="1:14" x14ac:dyDescent="0.3">
      <c r="A51" s="1"/>
      <c r="B51" s="1"/>
      <c r="C51" s="1"/>
      <c r="D51" s="1"/>
      <c r="E51" s="1"/>
      <c r="F51" s="1"/>
      <c r="G51" s="9" t="s">
        <v>832</v>
      </c>
      <c r="H51" s="9" t="s">
        <v>39</v>
      </c>
      <c r="I51" s="9" t="s">
        <v>486</v>
      </c>
      <c r="J51" s="9" t="s">
        <v>1912</v>
      </c>
      <c r="K51" s="3" t="s">
        <v>833</v>
      </c>
      <c r="L51" s="13" t="s">
        <v>834</v>
      </c>
      <c r="M51" s="15">
        <f t="shared" si="3"/>
        <v>2.9606481481481484E-2</v>
      </c>
      <c r="N51">
        <f t="shared" si="4"/>
        <v>12</v>
      </c>
    </row>
    <row r="52" spans="1:14" x14ac:dyDescent="0.3">
      <c r="A52" s="1"/>
      <c r="B52" s="1"/>
      <c r="C52" s="1"/>
      <c r="D52" s="1"/>
      <c r="E52" s="1"/>
      <c r="F52" s="1"/>
      <c r="G52" s="9" t="s">
        <v>835</v>
      </c>
      <c r="H52" s="9" t="s">
        <v>39</v>
      </c>
      <c r="I52" s="9" t="s">
        <v>486</v>
      </c>
      <c r="J52" s="9" t="s">
        <v>1912</v>
      </c>
      <c r="K52" s="3" t="s">
        <v>836</v>
      </c>
      <c r="L52" s="13" t="s">
        <v>837</v>
      </c>
      <c r="M52" s="15">
        <f t="shared" si="3"/>
        <v>4.1006944444444526E-2</v>
      </c>
      <c r="N52">
        <f t="shared" si="4"/>
        <v>16</v>
      </c>
    </row>
    <row r="53" spans="1:14" x14ac:dyDescent="0.3">
      <c r="A53" s="1"/>
      <c r="B53" s="1"/>
      <c r="C53" s="1"/>
      <c r="D53" s="1"/>
      <c r="E53" s="1"/>
      <c r="F53" s="1"/>
      <c r="G53" s="9" t="s">
        <v>838</v>
      </c>
      <c r="H53" s="9" t="s">
        <v>39</v>
      </c>
      <c r="I53" s="9" t="s">
        <v>486</v>
      </c>
      <c r="J53" s="9" t="s">
        <v>1912</v>
      </c>
      <c r="K53" s="3" t="s">
        <v>839</v>
      </c>
      <c r="L53" s="13" t="s">
        <v>840</v>
      </c>
      <c r="M53" s="15">
        <f t="shared" si="3"/>
        <v>2.445601851851853E-2</v>
      </c>
      <c r="N53">
        <f t="shared" si="4"/>
        <v>17</v>
      </c>
    </row>
    <row r="54" spans="1:14" x14ac:dyDescent="0.3">
      <c r="A54" s="1"/>
      <c r="B54" s="1"/>
      <c r="C54" s="9" t="s">
        <v>1935</v>
      </c>
      <c r="D54" s="9" t="s">
        <v>1936</v>
      </c>
      <c r="E54" s="9" t="s">
        <v>1936</v>
      </c>
      <c r="F54" s="9" t="s">
        <v>22</v>
      </c>
      <c r="G54" s="9" t="s">
        <v>1937</v>
      </c>
      <c r="H54" s="9" t="s">
        <v>39</v>
      </c>
      <c r="I54" s="9" t="s">
        <v>1914</v>
      </c>
      <c r="J54" s="9" t="s">
        <v>1912</v>
      </c>
      <c r="K54" s="3" t="s">
        <v>1938</v>
      </c>
      <c r="L54" s="13" t="s">
        <v>1939</v>
      </c>
      <c r="M54" s="15">
        <f t="shared" si="3"/>
        <v>2.7962962962962967E-2</v>
      </c>
      <c r="N54">
        <f t="shared" si="4"/>
        <v>17</v>
      </c>
    </row>
    <row r="55" spans="1:14" x14ac:dyDescent="0.3">
      <c r="A55" s="1"/>
      <c r="B55" s="1"/>
      <c r="C55" s="9" t="s">
        <v>841</v>
      </c>
      <c r="D55" s="9" t="s">
        <v>842</v>
      </c>
      <c r="E55" s="9" t="s">
        <v>842</v>
      </c>
      <c r="F55" s="9" t="s">
        <v>22</v>
      </c>
      <c r="G55" s="11" t="s">
        <v>19</v>
      </c>
      <c r="H55" s="2"/>
      <c r="I55" s="2"/>
      <c r="J55" s="7"/>
      <c r="K55" s="4"/>
      <c r="L55" s="12"/>
    </row>
    <row r="56" spans="1:14" x14ac:dyDescent="0.3">
      <c r="A56" s="1"/>
      <c r="B56" s="1"/>
      <c r="C56" s="1"/>
      <c r="D56" s="1"/>
      <c r="E56" s="1"/>
      <c r="F56" s="1"/>
      <c r="G56" s="9" t="s">
        <v>843</v>
      </c>
      <c r="H56" s="9" t="s">
        <v>39</v>
      </c>
      <c r="I56" s="9" t="s">
        <v>486</v>
      </c>
      <c r="J56" s="9" t="s">
        <v>1912</v>
      </c>
      <c r="K56" s="3" t="s">
        <v>844</v>
      </c>
      <c r="L56" s="13" t="s">
        <v>845</v>
      </c>
      <c r="M56" s="15">
        <f t="shared" si="3"/>
        <v>1.9212962962962932E-2</v>
      </c>
      <c r="N56">
        <f t="shared" si="4"/>
        <v>8</v>
      </c>
    </row>
    <row r="57" spans="1:14" x14ac:dyDescent="0.3">
      <c r="A57" s="1"/>
      <c r="B57" s="1"/>
      <c r="C57" s="1"/>
      <c r="D57" s="1"/>
      <c r="E57" s="1"/>
      <c r="F57" s="1"/>
      <c r="G57" s="9" t="s">
        <v>1336</v>
      </c>
      <c r="H57" s="9" t="s">
        <v>39</v>
      </c>
      <c r="I57" s="9" t="s">
        <v>1296</v>
      </c>
      <c r="J57" s="9" t="s">
        <v>1912</v>
      </c>
      <c r="K57" s="3" t="s">
        <v>160</v>
      </c>
      <c r="L57" s="13" t="s">
        <v>1337</v>
      </c>
      <c r="M57" s="15">
        <f t="shared" si="3"/>
        <v>1.428240740740741E-2</v>
      </c>
      <c r="N57">
        <f t="shared" si="4"/>
        <v>5</v>
      </c>
    </row>
    <row r="58" spans="1:14" x14ac:dyDescent="0.3">
      <c r="A58" s="1"/>
      <c r="B58" s="1"/>
      <c r="C58" s="1"/>
      <c r="D58" s="1"/>
      <c r="E58" s="1"/>
      <c r="F58" s="1"/>
      <c r="G58" s="9" t="s">
        <v>1940</v>
      </c>
      <c r="H58" s="9" t="s">
        <v>39</v>
      </c>
      <c r="I58" s="9" t="s">
        <v>1941</v>
      </c>
      <c r="J58" s="9" t="s">
        <v>1912</v>
      </c>
      <c r="K58" s="3" t="s">
        <v>1942</v>
      </c>
      <c r="L58" s="13" t="s">
        <v>1943</v>
      </c>
      <c r="M58" s="15">
        <f t="shared" si="3"/>
        <v>1.41782407407407E-2</v>
      </c>
      <c r="N58">
        <f t="shared" si="4"/>
        <v>20</v>
      </c>
    </row>
    <row r="59" spans="1:14" x14ac:dyDescent="0.3">
      <c r="A59" s="1"/>
      <c r="B59" s="1"/>
      <c r="C59" s="9" t="s">
        <v>58</v>
      </c>
      <c r="D59" s="9" t="s">
        <v>59</v>
      </c>
      <c r="E59" s="9" t="s">
        <v>59</v>
      </c>
      <c r="F59" s="9" t="s">
        <v>22</v>
      </c>
      <c r="G59" s="9" t="s">
        <v>60</v>
      </c>
      <c r="H59" s="9" t="s">
        <v>39</v>
      </c>
      <c r="I59" s="9" t="s">
        <v>25</v>
      </c>
      <c r="J59" s="9" t="s">
        <v>1912</v>
      </c>
      <c r="K59" s="3" t="s">
        <v>61</v>
      </c>
      <c r="L59" s="13" t="s">
        <v>62</v>
      </c>
      <c r="M59" s="15">
        <f t="shared" si="3"/>
        <v>2.8472222222222232E-2</v>
      </c>
      <c r="N59">
        <f t="shared" si="4"/>
        <v>8</v>
      </c>
    </row>
    <row r="60" spans="1:14" x14ac:dyDescent="0.3">
      <c r="A60" s="1"/>
      <c r="B60" s="1"/>
      <c r="C60" s="9" t="s">
        <v>1235</v>
      </c>
      <c r="D60" s="9" t="s">
        <v>1236</v>
      </c>
      <c r="E60" s="9" t="s">
        <v>1236</v>
      </c>
      <c r="F60" s="9" t="s">
        <v>22</v>
      </c>
      <c r="G60" s="11" t="s">
        <v>19</v>
      </c>
      <c r="H60" s="2"/>
      <c r="I60" s="2"/>
      <c r="J60" s="7"/>
      <c r="K60" s="4"/>
      <c r="L60" s="12"/>
    </row>
    <row r="61" spans="1:14" x14ac:dyDescent="0.3">
      <c r="A61" s="1"/>
      <c r="B61" s="1"/>
      <c r="C61" s="1"/>
      <c r="D61" s="1"/>
      <c r="E61" s="1"/>
      <c r="F61" s="1"/>
      <c r="G61" s="9" t="s">
        <v>1237</v>
      </c>
      <c r="H61" s="9" t="s">
        <v>1238</v>
      </c>
      <c r="I61" s="9" t="s">
        <v>926</v>
      </c>
      <c r="J61" s="9" t="s">
        <v>1912</v>
      </c>
      <c r="K61" s="3" t="s">
        <v>1239</v>
      </c>
      <c r="L61" s="13" t="s">
        <v>1240</v>
      </c>
      <c r="M61" s="15">
        <f t="shared" si="3"/>
        <v>1.9837962962962974E-2</v>
      </c>
      <c r="N61">
        <f t="shared" si="4"/>
        <v>11</v>
      </c>
    </row>
    <row r="62" spans="1:14" x14ac:dyDescent="0.3">
      <c r="A62" s="1"/>
      <c r="B62" s="1"/>
      <c r="C62" s="1"/>
      <c r="D62" s="1"/>
      <c r="E62" s="1"/>
      <c r="F62" s="1"/>
      <c r="G62" s="9" t="s">
        <v>1944</v>
      </c>
      <c r="H62" s="9" t="s">
        <v>39</v>
      </c>
      <c r="I62" s="9" t="s">
        <v>1945</v>
      </c>
      <c r="J62" s="9" t="s">
        <v>1912</v>
      </c>
      <c r="K62" s="3" t="s">
        <v>1946</v>
      </c>
      <c r="L62" s="13" t="s">
        <v>1947</v>
      </c>
      <c r="M62" s="15">
        <f t="shared" si="3"/>
        <v>2.0902777777777826E-2</v>
      </c>
      <c r="N62">
        <f t="shared" si="4"/>
        <v>11</v>
      </c>
    </row>
    <row r="63" spans="1:14" x14ac:dyDescent="0.3">
      <c r="A63" s="1"/>
      <c r="B63" s="1"/>
      <c r="C63" s="9" t="s">
        <v>530</v>
      </c>
      <c r="D63" s="9" t="s">
        <v>531</v>
      </c>
      <c r="E63" s="9" t="s">
        <v>531</v>
      </c>
      <c r="F63" s="9" t="s">
        <v>22</v>
      </c>
      <c r="G63" s="11" t="s">
        <v>19</v>
      </c>
      <c r="H63" s="2"/>
      <c r="I63" s="2"/>
      <c r="J63" s="7"/>
      <c r="K63" s="4"/>
      <c r="L63" s="12"/>
    </row>
    <row r="64" spans="1:14" x14ac:dyDescent="0.3">
      <c r="A64" s="1"/>
      <c r="B64" s="1"/>
      <c r="C64" s="1"/>
      <c r="D64" s="1"/>
      <c r="E64" s="1"/>
      <c r="F64" s="1"/>
      <c r="G64" s="9" t="s">
        <v>1241</v>
      </c>
      <c r="H64" s="9" t="s">
        <v>39</v>
      </c>
      <c r="I64" s="9" t="s">
        <v>926</v>
      </c>
      <c r="J64" s="9" t="s">
        <v>1912</v>
      </c>
      <c r="K64" s="3" t="s">
        <v>1242</v>
      </c>
      <c r="L64" s="13" t="s">
        <v>1243</v>
      </c>
      <c r="M64" s="15">
        <f t="shared" si="3"/>
        <v>2.9594907407407389E-2</v>
      </c>
      <c r="N64">
        <f t="shared" si="4"/>
        <v>11</v>
      </c>
    </row>
    <row r="65" spans="1:14" x14ac:dyDescent="0.3">
      <c r="A65" s="1"/>
      <c r="B65" s="1"/>
      <c r="C65" s="1"/>
      <c r="D65" s="1"/>
      <c r="E65" s="1"/>
      <c r="F65" s="1"/>
      <c r="G65" s="9" t="s">
        <v>1948</v>
      </c>
      <c r="H65" s="9" t="s">
        <v>39</v>
      </c>
      <c r="I65" s="9" t="s">
        <v>1914</v>
      </c>
      <c r="J65" s="9" t="s">
        <v>1912</v>
      </c>
      <c r="K65" s="3" t="s">
        <v>1949</v>
      </c>
      <c r="L65" s="13" t="s">
        <v>1950</v>
      </c>
      <c r="M65" s="15">
        <f t="shared" si="3"/>
        <v>2.6273148148148184E-2</v>
      </c>
      <c r="N65">
        <f t="shared" si="4"/>
        <v>8</v>
      </c>
    </row>
    <row r="66" spans="1:14" x14ac:dyDescent="0.3">
      <c r="A66" s="9" t="s">
        <v>63</v>
      </c>
      <c r="B66" s="9" t="s">
        <v>64</v>
      </c>
      <c r="C66" s="11" t="s">
        <v>19</v>
      </c>
      <c r="D66" s="2"/>
      <c r="E66" s="2"/>
      <c r="F66" s="2"/>
      <c r="G66" s="2"/>
      <c r="H66" s="2"/>
      <c r="I66" s="2"/>
      <c r="J66" s="7"/>
      <c r="K66" s="4"/>
      <c r="L66" s="12"/>
    </row>
    <row r="67" spans="1:14" x14ac:dyDescent="0.3">
      <c r="A67" s="1"/>
      <c r="B67" s="1"/>
      <c r="C67" s="9" t="s">
        <v>923</v>
      </c>
      <c r="D67" s="9" t="s">
        <v>924</v>
      </c>
      <c r="E67" s="9" t="s">
        <v>924</v>
      </c>
      <c r="F67" s="9" t="s">
        <v>22</v>
      </c>
      <c r="G67" s="11" t="s">
        <v>19</v>
      </c>
      <c r="H67" s="2"/>
      <c r="I67" s="2"/>
      <c r="J67" s="7"/>
      <c r="K67" s="4"/>
      <c r="L67" s="12"/>
    </row>
    <row r="68" spans="1:14" x14ac:dyDescent="0.3">
      <c r="A68" s="1"/>
      <c r="B68" s="1"/>
      <c r="C68" s="1"/>
      <c r="D68" s="1"/>
      <c r="E68" s="1"/>
      <c r="F68" s="1"/>
      <c r="G68" s="9" t="s">
        <v>925</v>
      </c>
      <c r="H68" s="9" t="s">
        <v>39</v>
      </c>
      <c r="I68" s="9" t="s">
        <v>926</v>
      </c>
      <c r="J68" s="9" t="s">
        <v>1912</v>
      </c>
      <c r="K68" s="3" t="s">
        <v>927</v>
      </c>
      <c r="L68" s="13" t="s">
        <v>928</v>
      </c>
      <c r="M68" s="15">
        <f t="shared" ref="M68:M130" si="5">L68-K68</f>
        <v>2.6030092592592535E-2</v>
      </c>
      <c r="N68">
        <f t="shared" ref="N68:N130" si="6">HOUR(K68)</f>
        <v>8</v>
      </c>
    </row>
    <row r="69" spans="1:14" x14ac:dyDescent="0.3">
      <c r="A69" s="1"/>
      <c r="B69" s="1"/>
      <c r="C69" s="1"/>
      <c r="D69" s="1"/>
      <c r="E69" s="1"/>
      <c r="F69" s="1"/>
      <c r="G69" s="9" t="s">
        <v>1338</v>
      </c>
      <c r="H69" s="9" t="s">
        <v>39</v>
      </c>
      <c r="I69" s="9" t="s">
        <v>1296</v>
      </c>
      <c r="J69" s="9" t="s">
        <v>1912</v>
      </c>
      <c r="K69" s="3" t="s">
        <v>1339</v>
      </c>
      <c r="L69" s="13" t="s">
        <v>1340</v>
      </c>
      <c r="M69" s="15">
        <f t="shared" si="5"/>
        <v>2.141203703703709E-2</v>
      </c>
      <c r="N69">
        <f t="shared" si="6"/>
        <v>10</v>
      </c>
    </row>
    <row r="70" spans="1:14" x14ac:dyDescent="0.3">
      <c r="A70" s="1"/>
      <c r="B70" s="1"/>
      <c r="C70" s="9" t="s">
        <v>1341</v>
      </c>
      <c r="D70" s="9" t="s">
        <v>1342</v>
      </c>
      <c r="E70" s="9" t="s">
        <v>1342</v>
      </c>
      <c r="F70" s="9" t="s">
        <v>22</v>
      </c>
      <c r="G70" s="11" t="s">
        <v>19</v>
      </c>
      <c r="H70" s="2"/>
      <c r="I70" s="2"/>
      <c r="J70" s="7"/>
      <c r="K70" s="4"/>
      <c r="L70" s="12"/>
    </row>
    <row r="71" spans="1:14" x14ac:dyDescent="0.3">
      <c r="A71" s="1"/>
      <c r="B71" s="1"/>
      <c r="C71" s="1"/>
      <c r="D71" s="1"/>
      <c r="E71" s="1"/>
      <c r="F71" s="1"/>
      <c r="G71" s="9" t="s">
        <v>1343</v>
      </c>
      <c r="H71" s="9" t="s">
        <v>39</v>
      </c>
      <c r="I71" s="9" t="s">
        <v>1296</v>
      </c>
      <c r="J71" s="9" t="s">
        <v>1912</v>
      </c>
      <c r="K71" s="3" t="s">
        <v>1344</v>
      </c>
      <c r="L71" s="13" t="s">
        <v>1345</v>
      </c>
      <c r="M71" s="15">
        <f t="shared" si="5"/>
        <v>1.807870370370368E-2</v>
      </c>
      <c r="N71">
        <f t="shared" si="6"/>
        <v>7</v>
      </c>
    </row>
    <row r="72" spans="1:14" x14ac:dyDescent="0.3">
      <c r="A72" s="1"/>
      <c r="B72" s="1"/>
      <c r="C72" s="1"/>
      <c r="D72" s="1"/>
      <c r="E72" s="1"/>
      <c r="F72" s="1"/>
      <c r="G72" s="9" t="s">
        <v>1346</v>
      </c>
      <c r="H72" s="9" t="s">
        <v>39</v>
      </c>
      <c r="I72" s="9" t="s">
        <v>1296</v>
      </c>
      <c r="J72" s="9" t="s">
        <v>1912</v>
      </c>
      <c r="K72" s="3" t="s">
        <v>1347</v>
      </c>
      <c r="L72" s="13" t="s">
        <v>1348</v>
      </c>
      <c r="M72" s="15">
        <f t="shared" si="5"/>
        <v>1.7407407407407371E-2</v>
      </c>
      <c r="N72">
        <f t="shared" si="6"/>
        <v>11</v>
      </c>
    </row>
    <row r="73" spans="1:14" x14ac:dyDescent="0.3">
      <c r="A73" s="1"/>
      <c r="B73" s="1"/>
      <c r="C73" s="1"/>
      <c r="D73" s="1"/>
      <c r="E73" s="1"/>
      <c r="F73" s="1"/>
      <c r="G73" s="9" t="s">
        <v>1349</v>
      </c>
      <c r="H73" s="9" t="s">
        <v>39</v>
      </c>
      <c r="I73" s="9" t="s">
        <v>1296</v>
      </c>
      <c r="J73" s="9" t="s">
        <v>1912</v>
      </c>
      <c r="K73" s="3" t="s">
        <v>1350</v>
      </c>
      <c r="L73" s="13" t="s">
        <v>1351</v>
      </c>
      <c r="M73" s="15">
        <f t="shared" si="5"/>
        <v>1.4097222222222205E-2</v>
      </c>
      <c r="N73">
        <f t="shared" si="6"/>
        <v>14</v>
      </c>
    </row>
    <row r="74" spans="1:14" x14ac:dyDescent="0.3">
      <c r="A74" s="1"/>
      <c r="B74" s="1"/>
      <c r="C74" s="9" t="s">
        <v>65</v>
      </c>
      <c r="D74" s="9" t="s">
        <v>66</v>
      </c>
      <c r="E74" s="9" t="s">
        <v>66</v>
      </c>
      <c r="F74" s="9" t="s">
        <v>22</v>
      </c>
      <c r="G74" s="11" t="s">
        <v>19</v>
      </c>
      <c r="H74" s="2"/>
      <c r="I74" s="2"/>
      <c r="J74" s="7"/>
      <c r="K74" s="4"/>
      <c r="L74" s="12"/>
    </row>
    <row r="75" spans="1:14" x14ac:dyDescent="0.3">
      <c r="A75" s="1"/>
      <c r="B75" s="1"/>
      <c r="C75" s="1"/>
      <c r="D75" s="1"/>
      <c r="E75" s="1"/>
      <c r="F75" s="1"/>
      <c r="G75" s="9" t="s">
        <v>67</v>
      </c>
      <c r="H75" s="9" t="s">
        <v>39</v>
      </c>
      <c r="I75" s="9" t="s">
        <v>25</v>
      </c>
      <c r="J75" s="9" t="s">
        <v>1912</v>
      </c>
      <c r="K75" s="3" t="s">
        <v>68</v>
      </c>
      <c r="L75" s="13" t="s">
        <v>69</v>
      </c>
      <c r="M75" s="15">
        <f t="shared" si="5"/>
        <v>1.4016203703703711E-2</v>
      </c>
      <c r="N75">
        <f t="shared" si="6"/>
        <v>8</v>
      </c>
    </row>
    <row r="76" spans="1:14" x14ac:dyDescent="0.3">
      <c r="A76" s="1"/>
      <c r="B76" s="1"/>
      <c r="C76" s="1"/>
      <c r="D76" s="1"/>
      <c r="E76" s="1"/>
      <c r="F76" s="1"/>
      <c r="G76" s="9" t="s">
        <v>70</v>
      </c>
      <c r="H76" s="9" t="s">
        <v>39</v>
      </c>
      <c r="I76" s="9" t="s">
        <v>25</v>
      </c>
      <c r="J76" s="9" t="s">
        <v>1912</v>
      </c>
      <c r="K76" s="3" t="s">
        <v>71</v>
      </c>
      <c r="L76" s="13" t="s">
        <v>72</v>
      </c>
      <c r="M76" s="15">
        <f t="shared" si="5"/>
        <v>2.9328703703703718E-2</v>
      </c>
      <c r="N76">
        <f t="shared" si="6"/>
        <v>10</v>
      </c>
    </row>
    <row r="77" spans="1:14" x14ac:dyDescent="0.3">
      <c r="A77" s="1"/>
      <c r="B77" s="1"/>
      <c r="C77" s="1"/>
      <c r="D77" s="1"/>
      <c r="E77" s="1"/>
      <c r="F77" s="1"/>
      <c r="G77" s="9" t="s">
        <v>485</v>
      </c>
      <c r="H77" s="9" t="s">
        <v>39</v>
      </c>
      <c r="I77" s="9" t="s">
        <v>486</v>
      </c>
      <c r="J77" s="9" t="s">
        <v>1912</v>
      </c>
      <c r="K77" s="3" t="s">
        <v>487</v>
      </c>
      <c r="L77" s="13" t="s">
        <v>1951</v>
      </c>
      <c r="M77" s="15">
        <f t="shared" si="5"/>
        <v>4.4270833333333259E-2</v>
      </c>
      <c r="N77">
        <f t="shared" si="6"/>
        <v>13</v>
      </c>
    </row>
    <row r="78" spans="1:14" x14ac:dyDescent="0.3">
      <c r="A78" s="1"/>
      <c r="B78" s="1"/>
      <c r="C78" s="1"/>
      <c r="D78" s="1"/>
      <c r="E78" s="1"/>
      <c r="F78" s="1"/>
      <c r="G78" s="9" t="s">
        <v>929</v>
      </c>
      <c r="H78" s="9" t="s">
        <v>39</v>
      </c>
      <c r="I78" s="9" t="s">
        <v>926</v>
      </c>
      <c r="J78" s="9" t="s">
        <v>1912</v>
      </c>
      <c r="K78" s="3" t="s">
        <v>930</v>
      </c>
      <c r="L78" s="13" t="s">
        <v>931</v>
      </c>
      <c r="M78" s="15">
        <f t="shared" si="5"/>
        <v>2.7303240740740753E-2</v>
      </c>
      <c r="N78">
        <f t="shared" si="6"/>
        <v>15</v>
      </c>
    </row>
    <row r="79" spans="1:14" x14ac:dyDescent="0.3">
      <c r="A79" s="1"/>
      <c r="B79" s="1"/>
      <c r="C79" s="1"/>
      <c r="D79" s="1"/>
      <c r="E79" s="1"/>
      <c r="F79" s="1"/>
      <c r="G79" s="9" t="s">
        <v>1352</v>
      </c>
      <c r="H79" s="9" t="s">
        <v>24</v>
      </c>
      <c r="I79" s="9" t="s">
        <v>1296</v>
      </c>
      <c r="J79" s="9" t="s">
        <v>1912</v>
      </c>
      <c r="K79" s="3" t="s">
        <v>1353</v>
      </c>
      <c r="L79" s="13" t="s">
        <v>1354</v>
      </c>
      <c r="M79" s="15">
        <f t="shared" si="5"/>
        <v>2.8564814814814821E-2</v>
      </c>
      <c r="N79">
        <f t="shared" si="6"/>
        <v>10</v>
      </c>
    </row>
    <row r="80" spans="1:14" x14ac:dyDescent="0.3">
      <c r="A80" s="1"/>
      <c r="B80" s="1"/>
      <c r="C80" s="1"/>
      <c r="D80" s="1"/>
      <c r="E80" s="1"/>
      <c r="F80" s="1"/>
      <c r="G80" s="9" t="s">
        <v>1952</v>
      </c>
      <c r="H80" s="9" t="s">
        <v>24</v>
      </c>
      <c r="I80" s="9" t="s">
        <v>1914</v>
      </c>
      <c r="J80" s="9" t="s">
        <v>1912</v>
      </c>
      <c r="K80" s="3" t="s">
        <v>1953</v>
      </c>
      <c r="L80" s="13" t="s">
        <v>1954</v>
      </c>
      <c r="M80" s="15">
        <f t="shared" si="5"/>
        <v>1.4988425925925974E-2</v>
      </c>
      <c r="N80">
        <f t="shared" si="6"/>
        <v>7</v>
      </c>
    </row>
    <row r="81" spans="1:14" x14ac:dyDescent="0.3">
      <c r="A81" s="1"/>
      <c r="B81" s="1"/>
      <c r="C81" s="1"/>
      <c r="D81" s="1"/>
      <c r="E81" s="1"/>
      <c r="F81" s="1"/>
      <c r="G81" s="9" t="s">
        <v>1955</v>
      </c>
      <c r="H81" s="9" t="s">
        <v>39</v>
      </c>
      <c r="I81" s="9" t="s">
        <v>1914</v>
      </c>
      <c r="J81" s="9" t="s">
        <v>1912</v>
      </c>
      <c r="K81" s="3" t="s">
        <v>1956</v>
      </c>
      <c r="L81" s="13" t="s">
        <v>1957</v>
      </c>
      <c r="M81" s="15">
        <f t="shared" si="5"/>
        <v>2.3634259259259272E-2</v>
      </c>
      <c r="N81">
        <f t="shared" si="6"/>
        <v>9</v>
      </c>
    </row>
    <row r="82" spans="1:14" x14ac:dyDescent="0.3">
      <c r="A82" s="1"/>
      <c r="B82" s="1"/>
      <c r="C82" s="1"/>
      <c r="D82" s="1"/>
      <c r="E82" s="1"/>
      <c r="F82" s="1"/>
      <c r="G82" s="9" t="s">
        <v>1958</v>
      </c>
      <c r="H82" s="9" t="s">
        <v>24</v>
      </c>
      <c r="I82" s="9" t="s">
        <v>1914</v>
      </c>
      <c r="J82" s="9" t="s">
        <v>1912</v>
      </c>
      <c r="K82" s="3" t="s">
        <v>1959</v>
      </c>
      <c r="L82" s="13" t="s">
        <v>1960</v>
      </c>
      <c r="M82" s="15">
        <f t="shared" si="5"/>
        <v>2.8379629629629699E-2</v>
      </c>
      <c r="N82">
        <f t="shared" si="6"/>
        <v>12</v>
      </c>
    </row>
    <row r="83" spans="1:14" x14ac:dyDescent="0.3">
      <c r="A83" s="1"/>
      <c r="B83" s="1"/>
      <c r="C83" s="9" t="s">
        <v>20</v>
      </c>
      <c r="D83" s="9" t="s">
        <v>21</v>
      </c>
      <c r="E83" s="9" t="s">
        <v>21</v>
      </c>
      <c r="F83" s="9" t="s">
        <v>22</v>
      </c>
      <c r="G83" s="11" t="s">
        <v>19</v>
      </c>
      <c r="H83" s="2"/>
      <c r="I83" s="2"/>
      <c r="J83" s="7"/>
      <c r="K83" s="4"/>
      <c r="L83" s="12"/>
    </row>
    <row r="84" spans="1:14" x14ac:dyDescent="0.3">
      <c r="A84" s="1"/>
      <c r="B84" s="1"/>
      <c r="C84" s="1"/>
      <c r="D84" s="1"/>
      <c r="E84" s="1"/>
      <c r="F84" s="1"/>
      <c r="G84" s="9" t="s">
        <v>73</v>
      </c>
      <c r="H84" s="9" t="s">
        <v>39</v>
      </c>
      <c r="I84" s="9" t="s">
        <v>25</v>
      </c>
      <c r="J84" s="9" t="s">
        <v>1912</v>
      </c>
      <c r="K84" s="3" t="s">
        <v>74</v>
      </c>
      <c r="L84" s="13" t="s">
        <v>75</v>
      </c>
      <c r="M84" s="15">
        <f t="shared" si="5"/>
        <v>1.9143518518518532E-2</v>
      </c>
      <c r="N84">
        <f t="shared" si="6"/>
        <v>7</v>
      </c>
    </row>
    <row r="85" spans="1:14" x14ac:dyDescent="0.3">
      <c r="A85" s="1"/>
      <c r="B85" s="1"/>
      <c r="C85" s="1"/>
      <c r="D85" s="1"/>
      <c r="E85" s="1"/>
      <c r="F85" s="1"/>
      <c r="G85" s="9" t="s">
        <v>76</v>
      </c>
      <c r="H85" s="9" t="s">
        <v>39</v>
      </c>
      <c r="I85" s="9" t="s">
        <v>25</v>
      </c>
      <c r="J85" s="9" t="s">
        <v>1912</v>
      </c>
      <c r="K85" s="3" t="s">
        <v>77</v>
      </c>
      <c r="L85" s="13" t="s">
        <v>78</v>
      </c>
      <c r="M85" s="15">
        <f t="shared" si="5"/>
        <v>2.0289351851851822E-2</v>
      </c>
      <c r="N85">
        <f t="shared" si="6"/>
        <v>8</v>
      </c>
    </row>
    <row r="86" spans="1:14" x14ac:dyDescent="0.3">
      <c r="A86" s="1"/>
      <c r="B86" s="1"/>
      <c r="C86" s="1"/>
      <c r="D86" s="1"/>
      <c r="E86" s="1"/>
      <c r="F86" s="1"/>
      <c r="G86" s="9" t="s">
        <v>79</v>
      </c>
      <c r="H86" s="9" t="s">
        <v>24</v>
      </c>
      <c r="I86" s="9" t="s">
        <v>25</v>
      </c>
      <c r="J86" s="9" t="s">
        <v>1912</v>
      </c>
      <c r="K86" s="3" t="s">
        <v>80</v>
      </c>
      <c r="L86" s="13" t="s">
        <v>81</v>
      </c>
      <c r="M86" s="15">
        <f t="shared" si="5"/>
        <v>3.4305555555555534E-2</v>
      </c>
      <c r="N86">
        <f t="shared" si="6"/>
        <v>10</v>
      </c>
    </row>
    <row r="87" spans="1:14" x14ac:dyDescent="0.3">
      <c r="A87" s="1"/>
      <c r="B87" s="1"/>
      <c r="C87" s="1"/>
      <c r="D87" s="1"/>
      <c r="E87" s="1"/>
      <c r="F87" s="1"/>
      <c r="G87" s="9" t="s">
        <v>82</v>
      </c>
      <c r="H87" s="9" t="s">
        <v>24</v>
      </c>
      <c r="I87" s="9" t="s">
        <v>25</v>
      </c>
      <c r="J87" s="9" t="s">
        <v>1912</v>
      </c>
      <c r="K87" s="3" t="s">
        <v>83</v>
      </c>
      <c r="L87" s="13" t="s">
        <v>84</v>
      </c>
      <c r="M87" s="15">
        <f t="shared" si="5"/>
        <v>3.3738425925925908E-2</v>
      </c>
      <c r="N87">
        <f t="shared" si="6"/>
        <v>12</v>
      </c>
    </row>
    <row r="88" spans="1:14" x14ac:dyDescent="0.3">
      <c r="A88" s="1"/>
      <c r="B88" s="1"/>
      <c r="C88" s="1"/>
      <c r="D88" s="1"/>
      <c r="E88" s="1"/>
      <c r="F88" s="1"/>
      <c r="G88" s="9" t="s">
        <v>85</v>
      </c>
      <c r="H88" s="9" t="s">
        <v>24</v>
      </c>
      <c r="I88" s="9" t="s">
        <v>25</v>
      </c>
      <c r="J88" s="9" t="s">
        <v>1912</v>
      </c>
      <c r="K88" s="3" t="s">
        <v>86</v>
      </c>
      <c r="L88" s="13" t="s">
        <v>87</v>
      </c>
      <c r="M88" s="15">
        <f t="shared" si="5"/>
        <v>3.2233796296296302E-2</v>
      </c>
      <c r="N88">
        <f t="shared" si="6"/>
        <v>14</v>
      </c>
    </row>
    <row r="89" spans="1:14" x14ac:dyDescent="0.3">
      <c r="A89" s="1"/>
      <c r="B89" s="1"/>
      <c r="C89" s="1"/>
      <c r="D89" s="1"/>
      <c r="E89" s="1"/>
      <c r="F89" s="1"/>
      <c r="G89" s="9" t="s">
        <v>489</v>
      </c>
      <c r="H89" s="9" t="s">
        <v>24</v>
      </c>
      <c r="I89" s="9" t="s">
        <v>486</v>
      </c>
      <c r="J89" s="9" t="s">
        <v>1912</v>
      </c>
      <c r="K89" s="3" t="s">
        <v>490</v>
      </c>
      <c r="L89" s="13" t="s">
        <v>491</v>
      </c>
      <c r="M89" s="15">
        <f t="shared" si="5"/>
        <v>1.9166666666666665E-2</v>
      </c>
      <c r="N89">
        <f t="shared" si="6"/>
        <v>5</v>
      </c>
    </row>
    <row r="90" spans="1:14" x14ac:dyDescent="0.3">
      <c r="A90" s="1"/>
      <c r="B90" s="1"/>
      <c r="C90" s="1"/>
      <c r="D90" s="1"/>
      <c r="E90" s="1"/>
      <c r="F90" s="1"/>
      <c r="G90" s="9" t="s">
        <v>492</v>
      </c>
      <c r="H90" s="9" t="s">
        <v>24</v>
      </c>
      <c r="I90" s="9" t="s">
        <v>486</v>
      </c>
      <c r="J90" s="9" t="s">
        <v>1912</v>
      </c>
      <c r="K90" s="3" t="s">
        <v>493</v>
      </c>
      <c r="L90" s="13" t="s">
        <v>494</v>
      </c>
      <c r="M90" s="15">
        <f t="shared" si="5"/>
        <v>3.5925925925925917E-2</v>
      </c>
      <c r="N90">
        <f t="shared" si="6"/>
        <v>9</v>
      </c>
    </row>
    <row r="91" spans="1:14" x14ac:dyDescent="0.3">
      <c r="A91" s="1"/>
      <c r="B91" s="1"/>
      <c r="C91" s="1"/>
      <c r="D91" s="1"/>
      <c r="E91" s="1"/>
      <c r="F91" s="1"/>
      <c r="G91" s="9" t="s">
        <v>495</v>
      </c>
      <c r="H91" s="9" t="s">
        <v>24</v>
      </c>
      <c r="I91" s="9" t="s">
        <v>486</v>
      </c>
      <c r="J91" s="9" t="s">
        <v>1912</v>
      </c>
      <c r="K91" s="3" t="s">
        <v>496</v>
      </c>
      <c r="L91" s="13" t="s">
        <v>497</v>
      </c>
      <c r="M91" s="15">
        <f t="shared" si="5"/>
        <v>2.1574074074074023E-2</v>
      </c>
      <c r="N91">
        <f t="shared" si="6"/>
        <v>11</v>
      </c>
    </row>
    <row r="92" spans="1:14" x14ac:dyDescent="0.3">
      <c r="A92" s="1"/>
      <c r="B92" s="1"/>
      <c r="C92" s="1"/>
      <c r="D92" s="1"/>
      <c r="E92" s="1"/>
      <c r="F92" s="1"/>
      <c r="G92" s="9" t="s">
        <v>932</v>
      </c>
      <c r="H92" s="9" t="s">
        <v>24</v>
      </c>
      <c r="I92" s="9" t="s">
        <v>926</v>
      </c>
      <c r="J92" s="9" t="s">
        <v>1912</v>
      </c>
      <c r="K92" s="3" t="s">
        <v>933</v>
      </c>
      <c r="L92" s="13" t="s">
        <v>934</v>
      </c>
      <c r="M92" s="15">
        <f t="shared" si="5"/>
        <v>1.6226851851851826E-2</v>
      </c>
      <c r="N92">
        <f t="shared" si="6"/>
        <v>5</v>
      </c>
    </row>
    <row r="93" spans="1:14" x14ac:dyDescent="0.3">
      <c r="A93" s="1"/>
      <c r="B93" s="1"/>
      <c r="C93" s="1"/>
      <c r="D93" s="1"/>
      <c r="E93" s="1"/>
      <c r="F93" s="1"/>
      <c r="G93" s="9" t="s">
        <v>935</v>
      </c>
      <c r="H93" s="9" t="s">
        <v>39</v>
      </c>
      <c r="I93" s="9" t="s">
        <v>926</v>
      </c>
      <c r="J93" s="9" t="s">
        <v>1912</v>
      </c>
      <c r="K93" s="3" t="s">
        <v>936</v>
      </c>
      <c r="L93" s="13" t="s">
        <v>937</v>
      </c>
      <c r="M93" s="15">
        <f t="shared" si="5"/>
        <v>3.4398148148148122E-2</v>
      </c>
      <c r="N93">
        <f t="shared" si="6"/>
        <v>13</v>
      </c>
    </row>
    <row r="94" spans="1:14" x14ac:dyDescent="0.3">
      <c r="A94" s="1"/>
      <c r="B94" s="1"/>
      <c r="C94" s="1"/>
      <c r="D94" s="1"/>
      <c r="E94" s="1"/>
      <c r="F94" s="1"/>
      <c r="G94" s="9" t="s">
        <v>1355</v>
      </c>
      <c r="H94" s="9" t="s">
        <v>24</v>
      </c>
      <c r="I94" s="9" t="s">
        <v>1296</v>
      </c>
      <c r="J94" s="9" t="s">
        <v>1912</v>
      </c>
      <c r="K94" s="3" t="s">
        <v>1356</v>
      </c>
      <c r="L94" s="13" t="s">
        <v>1357</v>
      </c>
      <c r="M94" s="15">
        <f t="shared" si="5"/>
        <v>3.0625000000000013E-2</v>
      </c>
      <c r="N94">
        <f t="shared" si="6"/>
        <v>7</v>
      </c>
    </row>
    <row r="95" spans="1:14" x14ac:dyDescent="0.3">
      <c r="A95" s="1"/>
      <c r="B95" s="1"/>
      <c r="C95" s="1"/>
      <c r="D95" s="1"/>
      <c r="E95" s="1"/>
      <c r="F95" s="1"/>
      <c r="G95" s="9" t="s">
        <v>1358</v>
      </c>
      <c r="H95" s="9" t="s">
        <v>24</v>
      </c>
      <c r="I95" s="9" t="s">
        <v>1296</v>
      </c>
      <c r="J95" s="9" t="s">
        <v>1912</v>
      </c>
      <c r="K95" s="3" t="s">
        <v>1359</v>
      </c>
      <c r="L95" s="13" t="s">
        <v>1360</v>
      </c>
      <c r="M95" s="15">
        <f t="shared" si="5"/>
        <v>2.8437500000000004E-2</v>
      </c>
      <c r="N95">
        <f t="shared" si="6"/>
        <v>13</v>
      </c>
    </row>
    <row r="96" spans="1:14" x14ac:dyDescent="0.3">
      <c r="A96" s="1"/>
      <c r="B96" s="1"/>
      <c r="C96" s="1"/>
      <c r="D96" s="1"/>
      <c r="E96" s="1"/>
      <c r="F96" s="1"/>
      <c r="G96" s="9" t="s">
        <v>1961</v>
      </c>
      <c r="H96" s="9" t="s">
        <v>39</v>
      </c>
      <c r="I96" s="9" t="s">
        <v>1914</v>
      </c>
      <c r="J96" s="9" t="s">
        <v>1912</v>
      </c>
      <c r="K96" s="3" t="s">
        <v>1962</v>
      </c>
      <c r="L96" s="13" t="s">
        <v>1963</v>
      </c>
      <c r="M96" s="15">
        <f t="shared" si="5"/>
        <v>2.228009259259256E-2</v>
      </c>
      <c r="N96">
        <f t="shared" si="6"/>
        <v>6</v>
      </c>
    </row>
    <row r="97" spans="1:14" x14ac:dyDescent="0.3">
      <c r="A97" s="1"/>
      <c r="B97" s="1"/>
      <c r="C97" s="9" t="s">
        <v>88</v>
      </c>
      <c r="D97" s="9" t="s">
        <v>89</v>
      </c>
      <c r="E97" s="9" t="s">
        <v>89</v>
      </c>
      <c r="F97" s="9" t="s">
        <v>22</v>
      </c>
      <c r="G97" s="9" t="s">
        <v>90</v>
      </c>
      <c r="H97" s="9" t="s">
        <v>39</v>
      </c>
      <c r="I97" s="9" t="s">
        <v>25</v>
      </c>
      <c r="J97" s="9" t="s">
        <v>1912</v>
      </c>
      <c r="K97" s="3" t="s">
        <v>91</v>
      </c>
      <c r="L97" s="13" t="s">
        <v>92</v>
      </c>
      <c r="M97" s="15">
        <f t="shared" si="5"/>
        <v>2.2268518518518576E-2</v>
      </c>
      <c r="N97">
        <f t="shared" si="6"/>
        <v>11</v>
      </c>
    </row>
    <row r="98" spans="1:14" x14ac:dyDescent="0.3">
      <c r="A98" s="1"/>
      <c r="B98" s="1"/>
      <c r="C98" s="9" t="s">
        <v>93</v>
      </c>
      <c r="D98" s="9" t="s">
        <v>94</v>
      </c>
      <c r="E98" s="11" t="s">
        <v>19</v>
      </c>
      <c r="F98" s="2"/>
      <c r="G98" s="2"/>
      <c r="H98" s="2"/>
      <c r="I98" s="2"/>
      <c r="J98" s="7"/>
      <c r="K98" s="4"/>
      <c r="L98" s="12"/>
    </row>
    <row r="99" spans="1:14" x14ac:dyDescent="0.3">
      <c r="A99" s="1"/>
      <c r="B99" s="1"/>
      <c r="C99" s="1"/>
      <c r="D99" s="1"/>
      <c r="E99" s="9" t="s">
        <v>94</v>
      </c>
      <c r="F99" s="9" t="s">
        <v>22</v>
      </c>
      <c r="G99" s="11" t="s">
        <v>19</v>
      </c>
      <c r="H99" s="2"/>
      <c r="I99" s="2"/>
      <c r="J99" s="7"/>
      <c r="K99" s="4"/>
      <c r="L99" s="12"/>
    </row>
    <row r="100" spans="1:14" x14ac:dyDescent="0.3">
      <c r="A100" s="1"/>
      <c r="B100" s="1"/>
      <c r="C100" s="1"/>
      <c r="D100" s="1"/>
      <c r="E100" s="1"/>
      <c r="F100" s="1"/>
      <c r="G100" s="9" t="s">
        <v>95</v>
      </c>
      <c r="H100" s="9" t="s">
        <v>39</v>
      </c>
      <c r="I100" s="9" t="s">
        <v>25</v>
      </c>
      <c r="J100" s="9" t="s">
        <v>1912</v>
      </c>
      <c r="K100" s="3" t="s">
        <v>96</v>
      </c>
      <c r="L100" s="13" t="s">
        <v>97</v>
      </c>
      <c r="M100" s="15">
        <f t="shared" si="5"/>
        <v>1.5069444444444413E-2</v>
      </c>
      <c r="N100">
        <f t="shared" si="6"/>
        <v>8</v>
      </c>
    </row>
    <row r="101" spans="1:14" x14ac:dyDescent="0.3">
      <c r="A101" s="1"/>
      <c r="B101" s="1"/>
      <c r="C101" s="1"/>
      <c r="D101" s="1"/>
      <c r="E101" s="1"/>
      <c r="F101" s="1"/>
      <c r="G101" s="9" t="s">
        <v>498</v>
      </c>
      <c r="H101" s="9" t="s">
        <v>39</v>
      </c>
      <c r="I101" s="9" t="s">
        <v>486</v>
      </c>
      <c r="J101" s="9" t="s">
        <v>1912</v>
      </c>
      <c r="K101" s="3" t="s">
        <v>499</v>
      </c>
      <c r="L101" s="13" t="s">
        <v>500</v>
      </c>
      <c r="M101" s="15">
        <f t="shared" si="5"/>
        <v>1.6122685185185226E-2</v>
      </c>
      <c r="N101">
        <f t="shared" si="6"/>
        <v>8</v>
      </c>
    </row>
    <row r="102" spans="1:14" x14ac:dyDescent="0.3">
      <c r="A102" s="1"/>
      <c r="B102" s="1"/>
      <c r="C102" s="1"/>
      <c r="D102" s="1"/>
      <c r="E102" s="1"/>
      <c r="F102" s="1"/>
      <c r="G102" s="9" t="s">
        <v>938</v>
      </c>
      <c r="H102" s="9" t="s">
        <v>39</v>
      </c>
      <c r="I102" s="9" t="s">
        <v>926</v>
      </c>
      <c r="J102" s="9" t="s">
        <v>1912</v>
      </c>
      <c r="K102" s="3" t="s">
        <v>939</v>
      </c>
      <c r="L102" s="13" t="s">
        <v>940</v>
      </c>
      <c r="M102" s="15">
        <f t="shared" si="5"/>
        <v>1.3888888888888867E-2</v>
      </c>
      <c r="N102">
        <f t="shared" si="6"/>
        <v>4</v>
      </c>
    </row>
    <row r="103" spans="1:14" x14ac:dyDescent="0.3">
      <c r="A103" s="1"/>
      <c r="B103" s="1"/>
      <c r="C103" s="1"/>
      <c r="D103" s="1"/>
      <c r="E103" s="1"/>
      <c r="F103" s="1"/>
      <c r="G103" s="9" t="s">
        <v>941</v>
      </c>
      <c r="H103" s="9" t="s">
        <v>39</v>
      </c>
      <c r="I103" s="9" t="s">
        <v>926</v>
      </c>
      <c r="J103" s="9" t="s">
        <v>1912</v>
      </c>
      <c r="K103" s="3" t="s">
        <v>942</v>
      </c>
      <c r="L103" s="13" t="s">
        <v>943</v>
      </c>
      <c r="M103" s="15">
        <f t="shared" si="5"/>
        <v>1.4618055555555565E-2</v>
      </c>
      <c r="N103">
        <f t="shared" si="6"/>
        <v>7</v>
      </c>
    </row>
    <row r="104" spans="1:14" x14ac:dyDescent="0.3">
      <c r="A104" s="1"/>
      <c r="B104" s="1"/>
      <c r="C104" s="1"/>
      <c r="D104" s="1"/>
      <c r="E104" s="1"/>
      <c r="F104" s="1"/>
      <c r="G104" s="9" t="s">
        <v>944</v>
      </c>
      <c r="H104" s="9" t="s">
        <v>39</v>
      </c>
      <c r="I104" s="9" t="s">
        <v>926</v>
      </c>
      <c r="J104" s="9" t="s">
        <v>1912</v>
      </c>
      <c r="K104" s="3" t="s">
        <v>945</v>
      </c>
      <c r="L104" s="13" t="s">
        <v>946</v>
      </c>
      <c r="M104" s="15">
        <f t="shared" si="5"/>
        <v>1.6041666666666676E-2</v>
      </c>
      <c r="N104">
        <f t="shared" si="6"/>
        <v>7</v>
      </c>
    </row>
    <row r="105" spans="1:14" x14ac:dyDescent="0.3">
      <c r="A105" s="1"/>
      <c r="B105" s="1"/>
      <c r="C105" s="1"/>
      <c r="D105" s="1"/>
      <c r="E105" s="1"/>
      <c r="F105" s="1"/>
      <c r="G105" s="9" t="s">
        <v>947</v>
      </c>
      <c r="H105" s="9" t="s">
        <v>39</v>
      </c>
      <c r="I105" s="9" t="s">
        <v>926</v>
      </c>
      <c r="J105" s="9" t="s">
        <v>1912</v>
      </c>
      <c r="K105" s="3" t="s">
        <v>948</v>
      </c>
      <c r="L105" s="13" t="s">
        <v>949</v>
      </c>
      <c r="M105" s="15">
        <f t="shared" si="5"/>
        <v>2.0138888888888873E-2</v>
      </c>
      <c r="N105">
        <f t="shared" si="6"/>
        <v>11</v>
      </c>
    </row>
    <row r="106" spans="1:14" x14ac:dyDescent="0.3">
      <c r="A106" s="1"/>
      <c r="B106" s="1"/>
      <c r="C106" s="1"/>
      <c r="D106" s="1"/>
      <c r="E106" s="1"/>
      <c r="F106" s="1"/>
      <c r="G106" s="9" t="s">
        <v>950</v>
      </c>
      <c r="H106" s="9" t="s">
        <v>39</v>
      </c>
      <c r="I106" s="9" t="s">
        <v>926</v>
      </c>
      <c r="J106" s="9" t="s">
        <v>1912</v>
      </c>
      <c r="K106" s="3" t="s">
        <v>951</v>
      </c>
      <c r="L106" s="13" t="s">
        <v>952</v>
      </c>
      <c r="M106" s="15">
        <f t="shared" si="5"/>
        <v>1.8043981481481564E-2</v>
      </c>
      <c r="N106">
        <f t="shared" si="6"/>
        <v>12</v>
      </c>
    </row>
    <row r="107" spans="1:14" x14ac:dyDescent="0.3">
      <c r="A107" s="1"/>
      <c r="B107" s="1"/>
      <c r="C107" s="1"/>
      <c r="D107" s="1"/>
      <c r="E107" s="1"/>
      <c r="F107" s="1"/>
      <c r="G107" s="9" t="s">
        <v>1361</v>
      </c>
      <c r="H107" s="9" t="s">
        <v>39</v>
      </c>
      <c r="I107" s="9" t="s">
        <v>1296</v>
      </c>
      <c r="J107" s="9" t="s">
        <v>1912</v>
      </c>
      <c r="K107" s="3" t="s">
        <v>1362</v>
      </c>
      <c r="L107" s="13" t="s">
        <v>1363</v>
      </c>
      <c r="M107" s="15">
        <f t="shared" si="5"/>
        <v>2.1041666666666625E-2</v>
      </c>
      <c r="N107">
        <f t="shared" si="6"/>
        <v>6</v>
      </c>
    </row>
    <row r="108" spans="1:14" x14ac:dyDescent="0.3">
      <c r="A108" s="1"/>
      <c r="B108" s="1"/>
      <c r="C108" s="1"/>
      <c r="D108" s="1"/>
      <c r="E108" s="1"/>
      <c r="F108" s="1"/>
      <c r="G108" s="9" t="s">
        <v>1964</v>
      </c>
      <c r="H108" s="9" t="s">
        <v>39</v>
      </c>
      <c r="I108" s="9" t="s">
        <v>1914</v>
      </c>
      <c r="J108" s="9" t="s">
        <v>1912</v>
      </c>
      <c r="K108" s="3" t="s">
        <v>1965</v>
      </c>
      <c r="L108" s="13" t="s">
        <v>1966</v>
      </c>
      <c r="M108" s="15">
        <f t="shared" si="5"/>
        <v>1.3715277777777757E-2</v>
      </c>
      <c r="N108">
        <f t="shared" si="6"/>
        <v>3</v>
      </c>
    </row>
    <row r="109" spans="1:14" x14ac:dyDescent="0.3">
      <c r="A109" s="1"/>
      <c r="B109" s="1"/>
      <c r="C109" s="1"/>
      <c r="D109" s="1"/>
      <c r="E109" s="1"/>
      <c r="F109" s="1"/>
      <c r="G109" s="9" t="s">
        <v>1967</v>
      </c>
      <c r="H109" s="9" t="s">
        <v>39</v>
      </c>
      <c r="I109" s="9" t="s">
        <v>1914</v>
      </c>
      <c r="J109" s="9" t="s">
        <v>1912</v>
      </c>
      <c r="K109" s="3" t="s">
        <v>1968</v>
      </c>
      <c r="L109" s="13" t="s">
        <v>1969</v>
      </c>
      <c r="M109" s="15">
        <f t="shared" si="5"/>
        <v>1.7129629629629661E-2</v>
      </c>
      <c r="N109">
        <f t="shared" si="6"/>
        <v>8</v>
      </c>
    </row>
    <row r="110" spans="1:14" x14ac:dyDescent="0.3">
      <c r="A110" s="1"/>
      <c r="B110" s="1"/>
      <c r="C110" s="1"/>
      <c r="D110" s="1"/>
      <c r="E110" s="1"/>
      <c r="F110" s="1"/>
      <c r="G110" s="9" t="s">
        <v>1970</v>
      </c>
      <c r="H110" s="9" t="s">
        <v>39</v>
      </c>
      <c r="I110" s="9" t="s">
        <v>1945</v>
      </c>
      <c r="J110" s="9" t="s">
        <v>1912</v>
      </c>
      <c r="K110" s="3" t="s">
        <v>1971</v>
      </c>
      <c r="L110" s="13" t="s">
        <v>1972</v>
      </c>
      <c r="M110" s="15">
        <f t="shared" si="5"/>
        <v>1.7175925925925928E-2</v>
      </c>
      <c r="N110">
        <f t="shared" si="6"/>
        <v>5</v>
      </c>
    </row>
    <row r="111" spans="1:14" x14ac:dyDescent="0.3">
      <c r="A111" s="1"/>
      <c r="B111" s="1"/>
      <c r="C111" s="1"/>
      <c r="D111" s="1"/>
      <c r="E111" s="1"/>
      <c r="F111" s="1"/>
      <c r="G111" s="9" t="s">
        <v>1973</v>
      </c>
      <c r="H111" s="9" t="s">
        <v>39</v>
      </c>
      <c r="I111" s="9" t="s">
        <v>1941</v>
      </c>
      <c r="J111" s="9" t="s">
        <v>1912</v>
      </c>
      <c r="K111" s="3" t="s">
        <v>1974</v>
      </c>
      <c r="L111" s="13" t="s">
        <v>1975</v>
      </c>
      <c r="M111" s="15">
        <f t="shared" si="5"/>
        <v>1.2662037037037027E-2</v>
      </c>
      <c r="N111">
        <f t="shared" si="6"/>
        <v>5</v>
      </c>
    </row>
    <row r="112" spans="1:14" x14ac:dyDescent="0.3">
      <c r="A112" s="1"/>
      <c r="B112" s="1"/>
      <c r="C112" s="1"/>
      <c r="D112" s="1"/>
      <c r="E112" s="9" t="s">
        <v>164</v>
      </c>
      <c r="F112" s="9" t="s">
        <v>22</v>
      </c>
      <c r="G112" s="9" t="s">
        <v>953</v>
      </c>
      <c r="H112" s="9" t="s">
        <v>39</v>
      </c>
      <c r="I112" s="9" t="s">
        <v>926</v>
      </c>
      <c r="J112" s="9" t="s">
        <v>1912</v>
      </c>
      <c r="K112" s="3" t="s">
        <v>954</v>
      </c>
      <c r="L112" s="13" t="s">
        <v>955</v>
      </c>
      <c r="M112" s="15">
        <f t="shared" si="5"/>
        <v>1.2916666666666798E-2</v>
      </c>
      <c r="N112">
        <f t="shared" si="6"/>
        <v>17</v>
      </c>
    </row>
    <row r="113" spans="1:14" x14ac:dyDescent="0.3">
      <c r="A113" s="1"/>
      <c r="B113" s="1"/>
      <c r="C113" s="9" t="s">
        <v>98</v>
      </c>
      <c r="D113" s="9" t="s">
        <v>99</v>
      </c>
      <c r="E113" s="9" t="s">
        <v>99</v>
      </c>
      <c r="F113" s="9" t="s">
        <v>22</v>
      </c>
      <c r="G113" s="11" t="s">
        <v>19</v>
      </c>
      <c r="H113" s="2"/>
      <c r="I113" s="2"/>
      <c r="J113" s="7"/>
      <c r="K113" s="4"/>
      <c r="L113" s="12"/>
    </row>
    <row r="114" spans="1:14" x14ac:dyDescent="0.3">
      <c r="A114" s="1"/>
      <c r="B114" s="1"/>
      <c r="C114" s="1"/>
      <c r="D114" s="1"/>
      <c r="E114" s="1"/>
      <c r="F114" s="1"/>
      <c r="G114" s="9" t="s">
        <v>100</v>
      </c>
      <c r="H114" s="9" t="s">
        <v>39</v>
      </c>
      <c r="I114" s="9" t="s">
        <v>25</v>
      </c>
      <c r="J114" s="9" t="s">
        <v>1912</v>
      </c>
      <c r="K114" s="3" t="s">
        <v>101</v>
      </c>
      <c r="L114" s="13" t="s">
        <v>102</v>
      </c>
      <c r="M114" s="15">
        <f t="shared" si="5"/>
        <v>2.2581018518518514E-2</v>
      </c>
      <c r="N114">
        <f t="shared" si="6"/>
        <v>9</v>
      </c>
    </row>
    <row r="115" spans="1:14" x14ac:dyDescent="0.3">
      <c r="A115" s="1"/>
      <c r="B115" s="1"/>
      <c r="C115" s="1"/>
      <c r="D115" s="1"/>
      <c r="E115" s="1"/>
      <c r="F115" s="1"/>
      <c r="G115" s="9" t="s">
        <v>956</v>
      </c>
      <c r="H115" s="9" t="s">
        <v>39</v>
      </c>
      <c r="I115" s="9" t="s">
        <v>926</v>
      </c>
      <c r="J115" s="9" t="s">
        <v>1912</v>
      </c>
      <c r="K115" s="3" t="s">
        <v>957</v>
      </c>
      <c r="L115" s="13" t="s">
        <v>958</v>
      </c>
      <c r="M115" s="15">
        <f t="shared" si="5"/>
        <v>2.4351851851851847E-2</v>
      </c>
      <c r="N115">
        <f t="shared" si="6"/>
        <v>5</v>
      </c>
    </row>
    <row r="116" spans="1:14" x14ac:dyDescent="0.3">
      <c r="A116" s="1"/>
      <c r="B116" s="1"/>
      <c r="C116" s="1"/>
      <c r="D116" s="1"/>
      <c r="E116" s="1"/>
      <c r="F116" s="1"/>
      <c r="G116" s="9" t="s">
        <v>1364</v>
      </c>
      <c r="H116" s="9" t="s">
        <v>39</v>
      </c>
      <c r="I116" s="9" t="s">
        <v>1296</v>
      </c>
      <c r="J116" s="9" t="s">
        <v>1912</v>
      </c>
      <c r="K116" s="3" t="s">
        <v>1365</v>
      </c>
      <c r="L116" s="13" t="s">
        <v>1366</v>
      </c>
      <c r="M116" s="15">
        <f t="shared" si="5"/>
        <v>1.9641203703703702E-2</v>
      </c>
      <c r="N116">
        <f t="shared" si="6"/>
        <v>9</v>
      </c>
    </row>
    <row r="117" spans="1:14" x14ac:dyDescent="0.3">
      <c r="A117" s="1"/>
      <c r="B117" s="1"/>
      <c r="C117" s="9" t="s">
        <v>959</v>
      </c>
      <c r="D117" s="9" t="s">
        <v>960</v>
      </c>
      <c r="E117" s="9" t="s">
        <v>960</v>
      </c>
      <c r="F117" s="9" t="s">
        <v>22</v>
      </c>
      <c r="G117" s="9" t="s">
        <v>961</v>
      </c>
      <c r="H117" s="9" t="s">
        <v>39</v>
      </c>
      <c r="I117" s="9" t="s">
        <v>926</v>
      </c>
      <c r="J117" s="9" t="s">
        <v>1912</v>
      </c>
      <c r="K117" s="3" t="s">
        <v>962</v>
      </c>
      <c r="L117" s="13" t="s">
        <v>963</v>
      </c>
      <c r="M117" s="15">
        <f t="shared" si="5"/>
        <v>1.5694444444444455E-2</v>
      </c>
      <c r="N117">
        <f t="shared" si="6"/>
        <v>5</v>
      </c>
    </row>
    <row r="118" spans="1:14" x14ac:dyDescent="0.3">
      <c r="A118" s="1"/>
      <c r="B118" s="1"/>
      <c r="C118" s="9" t="s">
        <v>31</v>
      </c>
      <c r="D118" s="9" t="s">
        <v>32</v>
      </c>
      <c r="E118" s="9" t="s">
        <v>32</v>
      </c>
      <c r="F118" s="9" t="s">
        <v>22</v>
      </c>
      <c r="G118" s="11" t="s">
        <v>19</v>
      </c>
      <c r="H118" s="2"/>
      <c r="I118" s="2"/>
      <c r="J118" s="7"/>
      <c r="K118" s="4"/>
      <c r="L118" s="12"/>
    </row>
    <row r="119" spans="1:14" x14ac:dyDescent="0.3">
      <c r="A119" s="1"/>
      <c r="B119" s="1"/>
      <c r="C119" s="1"/>
      <c r="D119" s="1"/>
      <c r="E119" s="1"/>
      <c r="F119" s="1"/>
      <c r="G119" s="9" t="s">
        <v>103</v>
      </c>
      <c r="H119" s="9" t="s">
        <v>24</v>
      </c>
      <c r="I119" s="9" t="s">
        <v>25</v>
      </c>
      <c r="J119" s="9" t="s">
        <v>1912</v>
      </c>
      <c r="K119" s="3" t="s">
        <v>104</v>
      </c>
      <c r="L119" s="13" t="s">
        <v>105</v>
      </c>
      <c r="M119" s="15">
        <f t="shared" si="5"/>
        <v>2.6944444444444549E-2</v>
      </c>
      <c r="N119">
        <f t="shared" si="6"/>
        <v>18</v>
      </c>
    </row>
    <row r="120" spans="1:14" x14ac:dyDescent="0.3">
      <c r="A120" s="1"/>
      <c r="B120" s="1"/>
      <c r="C120" s="1"/>
      <c r="D120" s="1"/>
      <c r="E120" s="1"/>
      <c r="F120" s="1"/>
      <c r="G120" s="9" t="s">
        <v>964</v>
      </c>
      <c r="H120" s="9" t="s">
        <v>24</v>
      </c>
      <c r="I120" s="9" t="s">
        <v>926</v>
      </c>
      <c r="J120" s="9" t="s">
        <v>1912</v>
      </c>
      <c r="K120" s="3" t="s">
        <v>965</v>
      </c>
      <c r="L120" s="13" t="s">
        <v>966</v>
      </c>
      <c r="M120" s="15">
        <f t="shared" si="5"/>
        <v>2.287037037037043E-2</v>
      </c>
      <c r="N120">
        <f t="shared" si="6"/>
        <v>18</v>
      </c>
    </row>
    <row r="121" spans="1:14" x14ac:dyDescent="0.3">
      <c r="A121" s="1"/>
      <c r="B121" s="1"/>
      <c r="C121" s="1"/>
      <c r="D121" s="1"/>
      <c r="E121" s="1"/>
      <c r="F121" s="1"/>
      <c r="G121" s="9" t="s">
        <v>1976</v>
      </c>
      <c r="H121" s="9" t="s">
        <v>24</v>
      </c>
      <c r="I121" s="9" t="s">
        <v>1914</v>
      </c>
      <c r="J121" s="9" t="s">
        <v>1912</v>
      </c>
      <c r="K121" s="3" t="s">
        <v>1977</v>
      </c>
      <c r="L121" s="13" t="s">
        <v>1978</v>
      </c>
      <c r="M121" s="15">
        <f t="shared" si="5"/>
        <v>2.631944444444434E-2</v>
      </c>
      <c r="N121">
        <f t="shared" si="6"/>
        <v>12</v>
      </c>
    </row>
    <row r="122" spans="1:14" x14ac:dyDescent="0.3">
      <c r="A122" s="1"/>
      <c r="B122" s="1"/>
      <c r="C122" s="9" t="s">
        <v>824</v>
      </c>
      <c r="D122" s="9" t="s">
        <v>825</v>
      </c>
      <c r="E122" s="9" t="s">
        <v>825</v>
      </c>
      <c r="F122" s="9" t="s">
        <v>22</v>
      </c>
      <c r="G122" s="9" t="s">
        <v>1979</v>
      </c>
      <c r="H122" s="9" t="s">
        <v>39</v>
      </c>
      <c r="I122" s="9" t="s">
        <v>1914</v>
      </c>
      <c r="J122" s="9" t="s">
        <v>1912</v>
      </c>
      <c r="K122" s="3" t="s">
        <v>1980</v>
      </c>
      <c r="L122" s="13" t="s">
        <v>1981</v>
      </c>
      <c r="M122" s="15">
        <f t="shared" si="5"/>
        <v>2.9108796296296258E-2</v>
      </c>
      <c r="N122">
        <f t="shared" si="6"/>
        <v>13</v>
      </c>
    </row>
    <row r="123" spans="1:14" x14ac:dyDescent="0.3">
      <c r="A123" s="1"/>
      <c r="B123" s="1"/>
      <c r="C123" s="9" t="s">
        <v>36</v>
      </c>
      <c r="D123" s="9" t="s">
        <v>37</v>
      </c>
      <c r="E123" s="9" t="s">
        <v>37</v>
      </c>
      <c r="F123" s="9" t="s">
        <v>22</v>
      </c>
      <c r="G123" s="11" t="s">
        <v>19</v>
      </c>
      <c r="H123" s="2"/>
      <c r="I123" s="2"/>
      <c r="J123" s="7"/>
      <c r="K123" s="4"/>
      <c r="L123" s="12"/>
    </row>
    <row r="124" spans="1:14" x14ac:dyDescent="0.3">
      <c r="A124" s="1"/>
      <c r="B124" s="1"/>
      <c r="C124" s="1"/>
      <c r="D124" s="1"/>
      <c r="E124" s="1"/>
      <c r="F124" s="1"/>
      <c r="G124" s="9" t="s">
        <v>106</v>
      </c>
      <c r="H124" s="9" t="s">
        <v>39</v>
      </c>
      <c r="I124" s="9" t="s">
        <v>25</v>
      </c>
      <c r="J124" s="9" t="s">
        <v>1912</v>
      </c>
      <c r="K124" s="3" t="s">
        <v>107</v>
      </c>
      <c r="L124" s="13" t="s">
        <v>108</v>
      </c>
      <c r="M124" s="15">
        <f t="shared" si="5"/>
        <v>2.0532407407407471E-2</v>
      </c>
      <c r="N124">
        <f t="shared" si="6"/>
        <v>13</v>
      </c>
    </row>
    <row r="125" spans="1:14" x14ac:dyDescent="0.3">
      <c r="A125" s="1"/>
      <c r="B125" s="1"/>
      <c r="C125" s="1"/>
      <c r="D125" s="1"/>
      <c r="E125" s="1"/>
      <c r="F125" s="1"/>
      <c r="G125" s="9" t="s">
        <v>967</v>
      </c>
      <c r="H125" s="9" t="s">
        <v>39</v>
      </c>
      <c r="I125" s="9" t="s">
        <v>926</v>
      </c>
      <c r="J125" s="9" t="s">
        <v>1912</v>
      </c>
      <c r="K125" s="3" t="s">
        <v>968</v>
      </c>
      <c r="L125" s="13" t="s">
        <v>969</v>
      </c>
      <c r="M125" s="15">
        <f t="shared" si="5"/>
        <v>2.5057870370370328E-2</v>
      </c>
      <c r="N125">
        <f t="shared" si="6"/>
        <v>15</v>
      </c>
    </row>
    <row r="126" spans="1:14" x14ac:dyDescent="0.3">
      <c r="A126" s="1"/>
      <c r="B126" s="1"/>
      <c r="C126" s="9" t="s">
        <v>47</v>
      </c>
      <c r="D126" s="9" t="s">
        <v>48</v>
      </c>
      <c r="E126" s="9" t="s">
        <v>190</v>
      </c>
      <c r="F126" s="9" t="s">
        <v>22</v>
      </c>
      <c r="G126" s="11" t="s">
        <v>19</v>
      </c>
      <c r="H126" s="2"/>
      <c r="I126" s="2"/>
      <c r="J126" s="7"/>
      <c r="K126" s="4"/>
      <c r="L126" s="12"/>
    </row>
    <row r="127" spans="1:14" x14ac:dyDescent="0.3">
      <c r="A127" s="1"/>
      <c r="B127" s="1"/>
      <c r="C127" s="1"/>
      <c r="D127" s="1"/>
      <c r="E127" s="1"/>
      <c r="F127" s="1"/>
      <c r="G127" s="9" t="s">
        <v>501</v>
      </c>
      <c r="H127" s="9" t="s">
        <v>39</v>
      </c>
      <c r="I127" s="9" t="s">
        <v>486</v>
      </c>
      <c r="J127" s="9" t="s">
        <v>1912</v>
      </c>
      <c r="K127" s="3" t="s">
        <v>502</v>
      </c>
      <c r="L127" s="13" t="s">
        <v>503</v>
      </c>
      <c r="M127" s="15">
        <f t="shared" si="5"/>
        <v>2.1226851851851913E-2</v>
      </c>
      <c r="N127">
        <f t="shared" si="6"/>
        <v>9</v>
      </c>
    </row>
    <row r="128" spans="1:14" x14ac:dyDescent="0.3">
      <c r="A128" s="1"/>
      <c r="B128" s="1"/>
      <c r="C128" s="1"/>
      <c r="D128" s="1"/>
      <c r="E128" s="1"/>
      <c r="F128" s="1"/>
      <c r="G128" s="9" t="s">
        <v>504</v>
      </c>
      <c r="H128" s="9" t="s">
        <v>39</v>
      </c>
      <c r="I128" s="9" t="s">
        <v>486</v>
      </c>
      <c r="J128" s="9" t="s">
        <v>1912</v>
      </c>
      <c r="K128" s="3" t="s">
        <v>505</v>
      </c>
      <c r="L128" s="13" t="s">
        <v>506</v>
      </c>
      <c r="M128" s="15">
        <f t="shared" si="5"/>
        <v>3.1400462962962949E-2</v>
      </c>
      <c r="N128">
        <f t="shared" si="6"/>
        <v>9</v>
      </c>
    </row>
    <row r="129" spans="1:14" x14ac:dyDescent="0.3">
      <c r="A129" s="1"/>
      <c r="B129" s="1"/>
      <c r="C129" s="1"/>
      <c r="D129" s="1"/>
      <c r="E129" s="1"/>
      <c r="F129" s="1"/>
      <c r="G129" s="9" t="s">
        <v>507</v>
      </c>
      <c r="H129" s="9" t="s">
        <v>39</v>
      </c>
      <c r="I129" s="9" t="s">
        <v>486</v>
      </c>
      <c r="J129" s="9" t="s">
        <v>1912</v>
      </c>
      <c r="K129" s="3" t="s">
        <v>508</v>
      </c>
      <c r="L129" s="13" t="s">
        <v>509</v>
      </c>
      <c r="M129" s="15">
        <f t="shared" si="5"/>
        <v>4.5902777777777737E-2</v>
      </c>
      <c r="N129">
        <f t="shared" si="6"/>
        <v>15</v>
      </c>
    </row>
    <row r="130" spans="1:14" x14ac:dyDescent="0.3">
      <c r="A130" s="1"/>
      <c r="B130" s="1"/>
      <c r="C130" s="1"/>
      <c r="D130" s="1"/>
      <c r="E130" s="1"/>
      <c r="F130" s="1"/>
      <c r="G130" s="9" t="s">
        <v>510</v>
      </c>
      <c r="H130" s="9" t="s">
        <v>39</v>
      </c>
      <c r="I130" s="9" t="s">
        <v>486</v>
      </c>
      <c r="J130" s="9" t="s">
        <v>1912</v>
      </c>
      <c r="K130" s="3" t="s">
        <v>511</v>
      </c>
      <c r="L130" s="13" t="s">
        <v>512</v>
      </c>
      <c r="M130" s="15">
        <f t="shared" si="5"/>
        <v>5.1747685185185244E-2</v>
      </c>
      <c r="N130">
        <f t="shared" si="6"/>
        <v>16</v>
      </c>
    </row>
    <row r="131" spans="1:14" x14ac:dyDescent="0.3">
      <c r="A131" s="1"/>
      <c r="B131" s="1"/>
      <c r="C131" s="9" t="s">
        <v>1935</v>
      </c>
      <c r="D131" s="9" t="s">
        <v>1936</v>
      </c>
      <c r="E131" s="9" t="s">
        <v>1936</v>
      </c>
      <c r="F131" s="9" t="s">
        <v>22</v>
      </c>
      <c r="G131" s="9" t="s">
        <v>1982</v>
      </c>
      <c r="H131" s="9" t="s">
        <v>24</v>
      </c>
      <c r="I131" s="9" t="s">
        <v>1914</v>
      </c>
      <c r="J131" s="9" t="s">
        <v>1912</v>
      </c>
      <c r="K131" s="3" t="s">
        <v>1983</v>
      </c>
      <c r="L131" s="13" t="s">
        <v>1984</v>
      </c>
      <c r="M131" s="15">
        <f t="shared" ref="M131:M194" si="7">L131-K131</f>
        <v>1.9699074074074119E-2</v>
      </c>
      <c r="N131">
        <f t="shared" ref="N131:N194" si="8">HOUR(K131)</f>
        <v>19</v>
      </c>
    </row>
    <row r="132" spans="1:14" x14ac:dyDescent="0.3">
      <c r="A132" s="1"/>
      <c r="B132" s="1"/>
      <c r="C132" s="9" t="s">
        <v>513</v>
      </c>
      <c r="D132" s="9" t="s">
        <v>514</v>
      </c>
      <c r="E132" s="9" t="s">
        <v>514</v>
      </c>
      <c r="F132" s="9" t="s">
        <v>22</v>
      </c>
      <c r="G132" s="11" t="s">
        <v>19</v>
      </c>
      <c r="H132" s="2"/>
      <c r="I132" s="2"/>
      <c r="J132" s="7"/>
      <c r="K132" s="4"/>
      <c r="L132" s="12"/>
    </row>
    <row r="133" spans="1:14" x14ac:dyDescent="0.3">
      <c r="A133" s="1"/>
      <c r="B133" s="1"/>
      <c r="C133" s="1"/>
      <c r="D133" s="1"/>
      <c r="E133" s="1"/>
      <c r="F133" s="1"/>
      <c r="G133" s="9" t="s">
        <v>515</v>
      </c>
      <c r="H133" s="9" t="s">
        <v>24</v>
      </c>
      <c r="I133" s="9" t="s">
        <v>486</v>
      </c>
      <c r="J133" s="9" t="s">
        <v>1912</v>
      </c>
      <c r="K133" s="3" t="s">
        <v>516</v>
      </c>
      <c r="L133" s="13" t="s">
        <v>517</v>
      </c>
      <c r="M133" s="15">
        <f t="shared" si="7"/>
        <v>1.664351851851853E-2</v>
      </c>
      <c r="N133">
        <f t="shared" si="8"/>
        <v>9</v>
      </c>
    </row>
    <row r="134" spans="1:14" x14ac:dyDescent="0.3">
      <c r="A134" s="1"/>
      <c r="B134" s="1"/>
      <c r="C134" s="1"/>
      <c r="D134" s="1"/>
      <c r="E134" s="1"/>
      <c r="F134" s="1"/>
      <c r="G134" s="9" t="s">
        <v>518</v>
      </c>
      <c r="H134" s="9" t="s">
        <v>24</v>
      </c>
      <c r="I134" s="9" t="s">
        <v>486</v>
      </c>
      <c r="J134" s="9" t="s">
        <v>1912</v>
      </c>
      <c r="K134" s="3" t="s">
        <v>519</v>
      </c>
      <c r="L134" s="13" t="s">
        <v>520</v>
      </c>
      <c r="M134" s="15">
        <f t="shared" si="7"/>
        <v>4.4560185185185175E-2</v>
      </c>
      <c r="N134">
        <f t="shared" si="8"/>
        <v>10</v>
      </c>
    </row>
    <row r="135" spans="1:14" x14ac:dyDescent="0.3">
      <c r="A135" s="1"/>
      <c r="B135" s="1"/>
      <c r="C135" s="1"/>
      <c r="D135" s="1"/>
      <c r="E135" s="1"/>
      <c r="F135" s="1"/>
      <c r="G135" s="9" t="s">
        <v>521</v>
      </c>
      <c r="H135" s="9" t="s">
        <v>24</v>
      </c>
      <c r="I135" s="9" t="s">
        <v>486</v>
      </c>
      <c r="J135" s="9" t="s">
        <v>1912</v>
      </c>
      <c r="K135" s="3" t="s">
        <v>522</v>
      </c>
      <c r="L135" s="13" t="s">
        <v>523</v>
      </c>
      <c r="M135" s="15">
        <f t="shared" si="7"/>
        <v>1.9791666666666652E-2</v>
      </c>
      <c r="N135">
        <f t="shared" si="8"/>
        <v>14</v>
      </c>
    </row>
    <row r="136" spans="1:14" x14ac:dyDescent="0.3">
      <c r="A136" s="1"/>
      <c r="B136" s="1"/>
      <c r="C136" s="1"/>
      <c r="D136" s="1"/>
      <c r="E136" s="1"/>
      <c r="F136" s="1"/>
      <c r="G136" s="9" t="s">
        <v>970</v>
      </c>
      <c r="H136" s="9" t="s">
        <v>24</v>
      </c>
      <c r="I136" s="9" t="s">
        <v>926</v>
      </c>
      <c r="J136" s="9" t="s">
        <v>1912</v>
      </c>
      <c r="K136" s="3" t="s">
        <v>971</v>
      </c>
      <c r="L136" s="13" t="s">
        <v>972</v>
      </c>
      <c r="M136" s="15">
        <f t="shared" si="7"/>
        <v>2.1180555555555536E-2</v>
      </c>
      <c r="N136">
        <f t="shared" si="8"/>
        <v>16</v>
      </c>
    </row>
    <row r="137" spans="1:14" x14ac:dyDescent="0.3">
      <c r="A137" s="1"/>
      <c r="B137" s="1"/>
      <c r="C137" s="1"/>
      <c r="D137" s="1"/>
      <c r="E137" s="1"/>
      <c r="F137" s="1"/>
      <c r="G137" s="9" t="s">
        <v>973</v>
      </c>
      <c r="H137" s="9" t="s">
        <v>24</v>
      </c>
      <c r="I137" s="9" t="s">
        <v>926</v>
      </c>
      <c r="J137" s="9" t="s">
        <v>1912</v>
      </c>
      <c r="K137" s="3" t="s">
        <v>974</v>
      </c>
      <c r="L137" s="13" t="s">
        <v>975</v>
      </c>
      <c r="M137" s="15">
        <f t="shared" si="7"/>
        <v>3.0150462962962976E-2</v>
      </c>
      <c r="N137">
        <f t="shared" si="8"/>
        <v>19</v>
      </c>
    </row>
    <row r="138" spans="1:14" x14ac:dyDescent="0.3">
      <c r="A138" s="1"/>
      <c r="B138" s="1"/>
      <c r="C138" s="1"/>
      <c r="D138" s="1"/>
      <c r="E138" s="1"/>
      <c r="F138" s="1"/>
      <c r="G138" s="9" t="s">
        <v>1985</v>
      </c>
      <c r="H138" s="9" t="s">
        <v>24</v>
      </c>
      <c r="I138" s="9" t="s">
        <v>1945</v>
      </c>
      <c r="J138" s="9" t="s">
        <v>1912</v>
      </c>
      <c r="K138" s="3" t="s">
        <v>1986</v>
      </c>
      <c r="L138" s="13" t="s">
        <v>1987</v>
      </c>
      <c r="M138" s="15">
        <f t="shared" si="7"/>
        <v>1.8576388888888851E-2</v>
      </c>
      <c r="N138">
        <f t="shared" si="8"/>
        <v>11</v>
      </c>
    </row>
    <row r="139" spans="1:14" x14ac:dyDescent="0.3">
      <c r="A139" s="1"/>
      <c r="B139" s="1"/>
      <c r="C139" s="1"/>
      <c r="D139" s="1"/>
      <c r="E139" s="1"/>
      <c r="F139" s="1"/>
      <c r="G139" s="9" t="s">
        <v>1988</v>
      </c>
      <c r="H139" s="9" t="s">
        <v>24</v>
      </c>
      <c r="I139" s="9" t="s">
        <v>1945</v>
      </c>
      <c r="J139" s="9" t="s">
        <v>1912</v>
      </c>
      <c r="K139" s="3" t="s">
        <v>1989</v>
      </c>
      <c r="L139" s="13" t="s">
        <v>1990</v>
      </c>
      <c r="M139" s="15">
        <f t="shared" si="7"/>
        <v>1.7013888888888884E-2</v>
      </c>
      <c r="N139">
        <f t="shared" si="8"/>
        <v>14</v>
      </c>
    </row>
    <row r="140" spans="1:14" x14ac:dyDescent="0.3">
      <c r="A140" s="1"/>
      <c r="B140" s="1"/>
      <c r="C140" s="9" t="s">
        <v>798</v>
      </c>
      <c r="D140" s="9" t="s">
        <v>799</v>
      </c>
      <c r="E140" s="9" t="s">
        <v>799</v>
      </c>
      <c r="F140" s="9" t="s">
        <v>22</v>
      </c>
      <c r="G140" s="11" t="s">
        <v>19</v>
      </c>
      <c r="H140" s="2"/>
      <c r="I140" s="2"/>
      <c r="J140" s="7"/>
      <c r="K140" s="4"/>
      <c r="L140" s="12"/>
    </row>
    <row r="141" spans="1:14" x14ac:dyDescent="0.3">
      <c r="A141" s="1"/>
      <c r="B141" s="1"/>
      <c r="C141" s="1"/>
      <c r="D141" s="1"/>
      <c r="E141" s="1"/>
      <c r="F141" s="1"/>
      <c r="G141" s="9" t="s">
        <v>976</v>
      </c>
      <c r="H141" s="9" t="s">
        <v>39</v>
      </c>
      <c r="I141" s="9" t="s">
        <v>926</v>
      </c>
      <c r="J141" s="9" t="s">
        <v>1912</v>
      </c>
      <c r="K141" s="3" t="s">
        <v>977</v>
      </c>
      <c r="L141" s="13" t="s">
        <v>978</v>
      </c>
      <c r="M141" s="15">
        <f t="shared" si="7"/>
        <v>4.0682870370370383E-2</v>
      </c>
      <c r="N141">
        <f t="shared" si="8"/>
        <v>11</v>
      </c>
    </row>
    <row r="142" spans="1:14" x14ac:dyDescent="0.3">
      <c r="A142" s="1"/>
      <c r="B142" s="1"/>
      <c r="C142" s="1"/>
      <c r="D142" s="1"/>
      <c r="E142" s="1"/>
      <c r="F142" s="1"/>
      <c r="G142" s="9" t="s">
        <v>1367</v>
      </c>
      <c r="H142" s="9" t="s">
        <v>39</v>
      </c>
      <c r="I142" s="9" t="s">
        <v>1296</v>
      </c>
      <c r="J142" s="9" t="s">
        <v>1912</v>
      </c>
      <c r="K142" s="3" t="s">
        <v>1368</v>
      </c>
      <c r="L142" s="13" t="s">
        <v>1369</v>
      </c>
      <c r="M142" s="15">
        <f t="shared" si="7"/>
        <v>2.6851851851851904E-2</v>
      </c>
      <c r="N142">
        <f t="shared" si="8"/>
        <v>15</v>
      </c>
    </row>
    <row r="143" spans="1:14" x14ac:dyDescent="0.3">
      <c r="A143" s="1"/>
      <c r="B143" s="1"/>
      <c r="C143" s="9" t="s">
        <v>1235</v>
      </c>
      <c r="D143" s="9" t="s">
        <v>1236</v>
      </c>
      <c r="E143" s="9" t="s">
        <v>1236</v>
      </c>
      <c r="F143" s="9" t="s">
        <v>22</v>
      </c>
      <c r="G143" s="9" t="s">
        <v>1991</v>
      </c>
      <c r="H143" s="9" t="s">
        <v>39</v>
      </c>
      <c r="I143" s="9" t="s">
        <v>1945</v>
      </c>
      <c r="J143" s="9" t="s">
        <v>1912</v>
      </c>
      <c r="K143" s="3" t="s">
        <v>1992</v>
      </c>
      <c r="L143" s="13" t="s">
        <v>1993</v>
      </c>
      <c r="M143" s="15">
        <f t="shared" si="7"/>
        <v>2.0277777777777783E-2</v>
      </c>
      <c r="N143">
        <f t="shared" si="8"/>
        <v>7</v>
      </c>
    </row>
    <row r="144" spans="1:14" x14ac:dyDescent="0.3">
      <c r="A144" s="1"/>
      <c r="B144" s="1"/>
      <c r="C144" s="9" t="s">
        <v>109</v>
      </c>
      <c r="D144" s="9" t="s">
        <v>110</v>
      </c>
      <c r="E144" s="9" t="s">
        <v>110</v>
      </c>
      <c r="F144" s="9" t="s">
        <v>22</v>
      </c>
      <c r="G144" s="11" t="s">
        <v>19</v>
      </c>
      <c r="H144" s="2"/>
      <c r="I144" s="2"/>
      <c r="J144" s="7"/>
      <c r="K144" s="4"/>
      <c r="L144" s="12"/>
    </row>
    <row r="145" spans="1:14" x14ac:dyDescent="0.3">
      <c r="A145" s="1"/>
      <c r="B145" s="1"/>
      <c r="C145" s="1"/>
      <c r="D145" s="1"/>
      <c r="E145" s="1"/>
      <c r="F145" s="1"/>
      <c r="G145" s="9" t="s">
        <v>111</v>
      </c>
      <c r="H145" s="9" t="s">
        <v>39</v>
      </c>
      <c r="I145" s="9" t="s">
        <v>25</v>
      </c>
      <c r="J145" s="9" t="s">
        <v>1912</v>
      </c>
      <c r="K145" s="3" t="s">
        <v>112</v>
      </c>
      <c r="L145" s="13" t="s">
        <v>113</v>
      </c>
      <c r="M145" s="15">
        <f t="shared" si="7"/>
        <v>2.2870370370370374E-2</v>
      </c>
      <c r="N145">
        <f t="shared" si="8"/>
        <v>7</v>
      </c>
    </row>
    <row r="146" spans="1:14" x14ac:dyDescent="0.3">
      <c r="A146" s="1"/>
      <c r="B146" s="1"/>
      <c r="C146" s="1"/>
      <c r="D146" s="1"/>
      <c r="E146" s="1"/>
      <c r="F146" s="1"/>
      <c r="G146" s="9" t="s">
        <v>524</v>
      </c>
      <c r="H146" s="9" t="s">
        <v>39</v>
      </c>
      <c r="I146" s="9" t="s">
        <v>486</v>
      </c>
      <c r="J146" s="9" t="s">
        <v>1912</v>
      </c>
      <c r="K146" s="3" t="s">
        <v>525</v>
      </c>
      <c r="L146" s="13" t="s">
        <v>526</v>
      </c>
      <c r="M146" s="15">
        <f t="shared" si="7"/>
        <v>2.1747685185185217E-2</v>
      </c>
      <c r="N146">
        <f t="shared" si="8"/>
        <v>8</v>
      </c>
    </row>
    <row r="147" spans="1:14" x14ac:dyDescent="0.3">
      <c r="A147" s="1"/>
      <c r="B147" s="1"/>
      <c r="C147" s="1"/>
      <c r="D147" s="1"/>
      <c r="E147" s="1"/>
      <c r="F147" s="1"/>
      <c r="G147" s="9" t="s">
        <v>527</v>
      </c>
      <c r="H147" s="9" t="s">
        <v>39</v>
      </c>
      <c r="I147" s="9" t="s">
        <v>486</v>
      </c>
      <c r="J147" s="9" t="s">
        <v>1912</v>
      </c>
      <c r="K147" s="3" t="s">
        <v>528</v>
      </c>
      <c r="L147" s="13" t="s">
        <v>529</v>
      </c>
      <c r="M147" s="15">
        <f t="shared" si="7"/>
        <v>2.1898148148148111E-2</v>
      </c>
      <c r="N147">
        <f t="shared" si="8"/>
        <v>8</v>
      </c>
    </row>
    <row r="148" spans="1:14" x14ac:dyDescent="0.3">
      <c r="A148" s="1"/>
      <c r="B148" s="1"/>
      <c r="C148" s="9" t="s">
        <v>1994</v>
      </c>
      <c r="D148" s="9" t="s">
        <v>1995</v>
      </c>
      <c r="E148" s="9" t="s">
        <v>1995</v>
      </c>
      <c r="F148" s="9" t="s">
        <v>22</v>
      </c>
      <c r="G148" s="9" t="s">
        <v>1996</v>
      </c>
      <c r="H148" s="9" t="s">
        <v>39</v>
      </c>
      <c r="I148" s="9" t="s">
        <v>1914</v>
      </c>
      <c r="J148" s="9" t="s">
        <v>1912</v>
      </c>
      <c r="K148" s="3" t="s">
        <v>1997</v>
      </c>
      <c r="L148" s="13" t="s">
        <v>1998</v>
      </c>
      <c r="M148" s="15">
        <f t="shared" si="7"/>
        <v>4.4004629629629588E-2</v>
      </c>
      <c r="N148">
        <f t="shared" si="8"/>
        <v>12</v>
      </c>
    </row>
    <row r="149" spans="1:14" x14ac:dyDescent="0.3">
      <c r="A149" s="1"/>
      <c r="B149" s="1"/>
      <c r="C149" s="9" t="s">
        <v>530</v>
      </c>
      <c r="D149" s="9" t="s">
        <v>531</v>
      </c>
      <c r="E149" s="9" t="s">
        <v>531</v>
      </c>
      <c r="F149" s="9" t="s">
        <v>22</v>
      </c>
      <c r="G149" s="11" t="s">
        <v>19</v>
      </c>
      <c r="H149" s="2"/>
      <c r="I149" s="2"/>
      <c r="J149" s="7"/>
      <c r="K149" s="4"/>
      <c r="L149" s="12"/>
    </row>
    <row r="150" spans="1:14" x14ac:dyDescent="0.3">
      <c r="A150" s="1"/>
      <c r="B150" s="1"/>
      <c r="C150" s="1"/>
      <c r="D150" s="1"/>
      <c r="E150" s="1"/>
      <c r="F150" s="1"/>
      <c r="G150" s="9" t="s">
        <v>532</v>
      </c>
      <c r="H150" s="9" t="s">
        <v>39</v>
      </c>
      <c r="I150" s="9" t="s">
        <v>486</v>
      </c>
      <c r="J150" s="9" t="s">
        <v>1912</v>
      </c>
      <c r="K150" s="3" t="s">
        <v>533</v>
      </c>
      <c r="L150" s="13" t="s">
        <v>534</v>
      </c>
      <c r="M150" s="15">
        <f t="shared" si="7"/>
        <v>2.82175925925926E-2</v>
      </c>
      <c r="N150">
        <f t="shared" si="8"/>
        <v>8</v>
      </c>
    </row>
    <row r="151" spans="1:14" x14ac:dyDescent="0.3">
      <c r="A151" s="1"/>
      <c r="B151" s="1"/>
      <c r="C151" s="1"/>
      <c r="D151" s="1"/>
      <c r="E151" s="1"/>
      <c r="F151" s="1"/>
      <c r="G151" s="9" t="s">
        <v>1370</v>
      </c>
      <c r="H151" s="9" t="s">
        <v>39</v>
      </c>
      <c r="I151" s="9" t="s">
        <v>1296</v>
      </c>
      <c r="J151" s="9" t="s">
        <v>1912</v>
      </c>
      <c r="K151" s="3" t="s">
        <v>1371</v>
      </c>
      <c r="L151" s="13" t="s">
        <v>1372</v>
      </c>
      <c r="M151" s="15">
        <f t="shared" si="7"/>
        <v>1.8217592592592535E-2</v>
      </c>
      <c r="N151">
        <f t="shared" si="8"/>
        <v>8</v>
      </c>
    </row>
    <row r="152" spans="1:14" x14ac:dyDescent="0.3">
      <c r="A152" s="9" t="s">
        <v>114</v>
      </c>
      <c r="B152" s="9" t="s">
        <v>115</v>
      </c>
      <c r="C152" s="11" t="s">
        <v>19</v>
      </c>
      <c r="D152" s="2"/>
      <c r="E152" s="2"/>
      <c r="F152" s="2"/>
      <c r="G152" s="2"/>
      <c r="H152" s="2"/>
      <c r="I152" s="2"/>
      <c r="J152" s="7"/>
      <c r="K152" s="4"/>
      <c r="L152" s="12"/>
    </row>
    <row r="153" spans="1:14" x14ac:dyDescent="0.3">
      <c r="A153" s="1"/>
      <c r="B153" s="1"/>
      <c r="C153" s="9" t="s">
        <v>116</v>
      </c>
      <c r="D153" s="9" t="s">
        <v>117</v>
      </c>
      <c r="E153" s="11" t="s">
        <v>19</v>
      </c>
      <c r="F153" s="2"/>
      <c r="G153" s="2"/>
      <c r="H153" s="2"/>
      <c r="I153" s="2"/>
      <c r="J153" s="7"/>
      <c r="K153" s="4"/>
      <c r="L153" s="12"/>
    </row>
    <row r="154" spans="1:14" x14ac:dyDescent="0.3">
      <c r="A154" s="1"/>
      <c r="B154" s="1"/>
      <c r="C154" s="1"/>
      <c r="D154" s="1"/>
      <c r="E154" s="9" t="s">
        <v>117</v>
      </c>
      <c r="F154" s="9" t="s">
        <v>22</v>
      </c>
      <c r="G154" s="11" t="s">
        <v>19</v>
      </c>
      <c r="H154" s="2"/>
      <c r="I154" s="2"/>
      <c r="J154" s="7"/>
      <c r="K154" s="4"/>
      <c r="L154" s="12"/>
    </row>
    <row r="155" spans="1:14" x14ac:dyDescent="0.3">
      <c r="A155" s="1"/>
      <c r="B155" s="1"/>
      <c r="C155" s="1"/>
      <c r="D155" s="1"/>
      <c r="E155" s="1"/>
      <c r="F155" s="1"/>
      <c r="G155" s="9" t="s">
        <v>118</v>
      </c>
      <c r="H155" s="9" t="s">
        <v>119</v>
      </c>
      <c r="I155" s="9" t="s">
        <v>25</v>
      </c>
      <c r="J155" s="9" t="s">
        <v>1912</v>
      </c>
      <c r="K155" s="3" t="s">
        <v>120</v>
      </c>
      <c r="L155" s="13" t="s">
        <v>121</v>
      </c>
      <c r="M155" s="15">
        <f t="shared" si="7"/>
        <v>1.5590277777777772E-2</v>
      </c>
      <c r="N155">
        <f t="shared" si="8"/>
        <v>19</v>
      </c>
    </row>
    <row r="156" spans="1:14" x14ac:dyDescent="0.3">
      <c r="A156" s="1"/>
      <c r="B156" s="1"/>
      <c r="C156" s="1"/>
      <c r="D156" s="1"/>
      <c r="E156" s="1"/>
      <c r="F156" s="1"/>
      <c r="G156" s="9" t="s">
        <v>122</v>
      </c>
      <c r="H156" s="9" t="s">
        <v>119</v>
      </c>
      <c r="I156" s="9" t="s">
        <v>25</v>
      </c>
      <c r="J156" s="9" t="s">
        <v>1912</v>
      </c>
      <c r="K156" s="3" t="s">
        <v>123</v>
      </c>
      <c r="L156" s="13" t="s">
        <v>124</v>
      </c>
      <c r="M156" s="15">
        <f t="shared" si="7"/>
        <v>1.2361111111111156E-2</v>
      </c>
      <c r="N156">
        <f t="shared" si="8"/>
        <v>22</v>
      </c>
    </row>
    <row r="157" spans="1:14" x14ac:dyDescent="0.3">
      <c r="A157" s="1"/>
      <c r="B157" s="1"/>
      <c r="C157" s="1"/>
      <c r="D157" s="1"/>
      <c r="E157" s="1"/>
      <c r="F157" s="1"/>
      <c r="G157" s="9" t="s">
        <v>535</v>
      </c>
      <c r="H157" s="9" t="s">
        <v>119</v>
      </c>
      <c r="I157" s="9" t="s">
        <v>486</v>
      </c>
      <c r="J157" s="9" t="s">
        <v>1912</v>
      </c>
      <c r="K157" s="3" t="s">
        <v>536</v>
      </c>
      <c r="L157" s="13" t="s">
        <v>537</v>
      </c>
      <c r="M157" s="15">
        <f t="shared" si="7"/>
        <v>2.5520833333333319E-2</v>
      </c>
      <c r="N157">
        <f t="shared" si="8"/>
        <v>1</v>
      </c>
    </row>
    <row r="158" spans="1:14" x14ac:dyDescent="0.3">
      <c r="A158" s="1"/>
      <c r="B158" s="1"/>
      <c r="C158" s="1"/>
      <c r="D158" s="1"/>
      <c r="E158" s="1"/>
      <c r="F158" s="1"/>
      <c r="G158" s="9" t="s">
        <v>538</v>
      </c>
      <c r="H158" s="9" t="s">
        <v>119</v>
      </c>
      <c r="I158" s="9" t="s">
        <v>486</v>
      </c>
      <c r="J158" s="9" t="s">
        <v>1912</v>
      </c>
      <c r="K158" s="3" t="s">
        <v>539</v>
      </c>
      <c r="L158" s="13" t="s">
        <v>540</v>
      </c>
      <c r="M158" s="15">
        <f t="shared" si="7"/>
        <v>1.9548611111111058E-2</v>
      </c>
      <c r="N158">
        <f t="shared" si="8"/>
        <v>8</v>
      </c>
    </row>
    <row r="159" spans="1:14" x14ac:dyDescent="0.3">
      <c r="A159" s="1"/>
      <c r="B159" s="1"/>
      <c r="C159" s="1"/>
      <c r="D159" s="1"/>
      <c r="E159" s="1"/>
      <c r="F159" s="1"/>
      <c r="G159" s="9" t="s">
        <v>541</v>
      </c>
      <c r="H159" s="9" t="s">
        <v>119</v>
      </c>
      <c r="I159" s="9" t="s">
        <v>486</v>
      </c>
      <c r="J159" s="9" t="s">
        <v>1912</v>
      </c>
      <c r="K159" s="3" t="s">
        <v>542</v>
      </c>
      <c r="L159" s="13" t="s">
        <v>543</v>
      </c>
      <c r="M159" s="15">
        <f t="shared" si="7"/>
        <v>1.2604166666666639E-2</v>
      </c>
      <c r="N159">
        <f t="shared" si="8"/>
        <v>23</v>
      </c>
    </row>
    <row r="160" spans="1:14" x14ac:dyDescent="0.3">
      <c r="A160" s="1"/>
      <c r="B160" s="1"/>
      <c r="C160" s="1"/>
      <c r="D160" s="1"/>
      <c r="E160" s="1"/>
      <c r="F160" s="1"/>
      <c r="G160" s="9" t="s">
        <v>544</v>
      </c>
      <c r="H160" s="9" t="s">
        <v>119</v>
      </c>
      <c r="I160" s="9" t="s">
        <v>486</v>
      </c>
      <c r="J160" s="9" t="s">
        <v>1912</v>
      </c>
      <c r="K160" s="3" t="s">
        <v>545</v>
      </c>
      <c r="L160" s="13" t="s">
        <v>546</v>
      </c>
      <c r="M160" s="15">
        <f t="shared" si="7"/>
        <v>2.7326388888888831E-2</v>
      </c>
      <c r="N160">
        <f t="shared" si="8"/>
        <v>16</v>
      </c>
    </row>
    <row r="161" spans="1:14" x14ac:dyDescent="0.3">
      <c r="A161" s="1"/>
      <c r="B161" s="1"/>
      <c r="C161" s="1"/>
      <c r="D161" s="1"/>
      <c r="E161" s="1"/>
      <c r="F161" s="1"/>
      <c r="G161" s="9" t="s">
        <v>547</v>
      </c>
      <c r="H161" s="9" t="s">
        <v>119</v>
      </c>
      <c r="I161" s="9" t="s">
        <v>486</v>
      </c>
      <c r="J161" s="9" t="s">
        <v>1912</v>
      </c>
      <c r="K161" s="3" t="s">
        <v>548</v>
      </c>
      <c r="L161" s="13" t="s">
        <v>549</v>
      </c>
      <c r="M161" s="15">
        <f t="shared" si="7"/>
        <v>1.6851851851851896E-2</v>
      </c>
      <c r="N161">
        <f t="shared" si="8"/>
        <v>20</v>
      </c>
    </row>
    <row r="162" spans="1:14" x14ac:dyDescent="0.3">
      <c r="A162" s="1"/>
      <c r="B162" s="1"/>
      <c r="C162" s="1"/>
      <c r="D162" s="1"/>
      <c r="E162" s="1"/>
      <c r="F162" s="1"/>
      <c r="G162" s="9" t="s">
        <v>979</v>
      </c>
      <c r="H162" s="9" t="s">
        <v>119</v>
      </c>
      <c r="I162" s="9" t="s">
        <v>926</v>
      </c>
      <c r="J162" s="9" t="s">
        <v>1912</v>
      </c>
      <c r="K162" s="3" t="s">
        <v>980</v>
      </c>
      <c r="L162" s="13" t="s">
        <v>981</v>
      </c>
      <c r="M162" s="15">
        <f t="shared" si="7"/>
        <v>2.7233796296296298E-2</v>
      </c>
      <c r="N162">
        <f t="shared" si="8"/>
        <v>1</v>
      </c>
    </row>
    <row r="163" spans="1:14" x14ac:dyDescent="0.3">
      <c r="A163" s="1"/>
      <c r="B163" s="1"/>
      <c r="C163" s="1"/>
      <c r="D163" s="1"/>
      <c r="E163" s="1"/>
      <c r="F163" s="1"/>
      <c r="G163" s="9" t="s">
        <v>982</v>
      </c>
      <c r="H163" s="9" t="s">
        <v>119</v>
      </c>
      <c r="I163" s="9" t="s">
        <v>926</v>
      </c>
      <c r="J163" s="9" t="s">
        <v>1912</v>
      </c>
      <c r="K163" s="3" t="s">
        <v>983</v>
      </c>
      <c r="L163" s="13" t="s">
        <v>984</v>
      </c>
      <c r="M163" s="15">
        <f t="shared" si="7"/>
        <v>2.6273148148148129E-2</v>
      </c>
      <c r="N163">
        <f t="shared" si="8"/>
        <v>8</v>
      </c>
    </row>
    <row r="164" spans="1:14" x14ac:dyDescent="0.3">
      <c r="A164" s="1"/>
      <c r="B164" s="1"/>
      <c r="C164" s="1"/>
      <c r="D164" s="1"/>
      <c r="E164" s="1"/>
      <c r="F164" s="1"/>
      <c r="G164" s="9" t="s">
        <v>985</v>
      </c>
      <c r="H164" s="9" t="s">
        <v>119</v>
      </c>
      <c r="I164" s="9" t="s">
        <v>926</v>
      </c>
      <c r="J164" s="9" t="s">
        <v>1912</v>
      </c>
      <c r="K164" s="3" t="s">
        <v>986</v>
      </c>
      <c r="L164" s="13" t="s">
        <v>987</v>
      </c>
      <c r="M164" s="15">
        <f t="shared" si="7"/>
        <v>3.5520833333333335E-2</v>
      </c>
      <c r="N164">
        <f t="shared" si="8"/>
        <v>12</v>
      </c>
    </row>
    <row r="165" spans="1:14" x14ac:dyDescent="0.3">
      <c r="A165" s="1"/>
      <c r="B165" s="1"/>
      <c r="C165" s="1"/>
      <c r="D165" s="1"/>
      <c r="E165" s="1"/>
      <c r="F165" s="1"/>
      <c r="G165" s="9" t="s">
        <v>988</v>
      </c>
      <c r="H165" s="9" t="s">
        <v>119</v>
      </c>
      <c r="I165" s="9" t="s">
        <v>926</v>
      </c>
      <c r="J165" s="9" t="s">
        <v>1912</v>
      </c>
      <c r="K165" s="3" t="s">
        <v>989</v>
      </c>
      <c r="L165" s="13" t="s">
        <v>990</v>
      </c>
      <c r="M165" s="15">
        <f t="shared" si="7"/>
        <v>1.6701388888888946E-2</v>
      </c>
      <c r="N165">
        <f t="shared" si="8"/>
        <v>17</v>
      </c>
    </row>
    <row r="166" spans="1:14" x14ac:dyDescent="0.3">
      <c r="A166" s="1"/>
      <c r="B166" s="1"/>
      <c r="C166" s="1"/>
      <c r="D166" s="1"/>
      <c r="E166" s="1"/>
      <c r="F166" s="1"/>
      <c r="G166" s="9" t="s">
        <v>991</v>
      </c>
      <c r="H166" s="9" t="s">
        <v>119</v>
      </c>
      <c r="I166" s="9" t="s">
        <v>926</v>
      </c>
      <c r="J166" s="9" t="s">
        <v>1912</v>
      </c>
      <c r="K166" s="3" t="s">
        <v>992</v>
      </c>
      <c r="L166" s="13" t="s">
        <v>993</v>
      </c>
      <c r="M166" s="15">
        <f t="shared" si="7"/>
        <v>1.2210648148148096E-2</v>
      </c>
      <c r="N166">
        <f t="shared" si="8"/>
        <v>20</v>
      </c>
    </row>
    <row r="167" spans="1:14" x14ac:dyDescent="0.3">
      <c r="A167" s="1"/>
      <c r="B167" s="1"/>
      <c r="C167" s="1"/>
      <c r="D167" s="1"/>
      <c r="E167" s="1"/>
      <c r="F167" s="1"/>
      <c r="G167" s="9" t="s">
        <v>994</v>
      </c>
      <c r="H167" s="9" t="s">
        <v>119</v>
      </c>
      <c r="I167" s="9" t="s">
        <v>926</v>
      </c>
      <c r="J167" s="9" t="s">
        <v>1912</v>
      </c>
      <c r="K167" s="3" t="s">
        <v>995</v>
      </c>
      <c r="L167" s="16" t="s">
        <v>1999</v>
      </c>
      <c r="M167" s="15">
        <f t="shared" si="7"/>
        <v>2.7395833333333175E-2</v>
      </c>
      <c r="N167">
        <f t="shared" si="8"/>
        <v>23</v>
      </c>
    </row>
    <row r="168" spans="1:14" x14ac:dyDescent="0.3">
      <c r="A168" s="1"/>
      <c r="B168" s="1"/>
      <c r="C168" s="1"/>
      <c r="D168" s="1"/>
      <c r="E168" s="1"/>
      <c r="F168" s="1"/>
      <c r="G168" s="9" t="s">
        <v>1373</v>
      </c>
      <c r="H168" s="9" t="s">
        <v>119</v>
      </c>
      <c r="I168" s="9" t="s">
        <v>1296</v>
      </c>
      <c r="J168" s="9" t="s">
        <v>1912</v>
      </c>
      <c r="K168" s="3" t="s">
        <v>1374</v>
      </c>
      <c r="L168" s="13" t="s">
        <v>1375</v>
      </c>
      <c r="M168" s="15">
        <f t="shared" si="7"/>
        <v>1.1458333333333348E-2</v>
      </c>
      <c r="N168">
        <f t="shared" si="8"/>
        <v>3</v>
      </c>
    </row>
    <row r="169" spans="1:14" x14ac:dyDescent="0.3">
      <c r="A169" s="1"/>
      <c r="B169" s="1"/>
      <c r="C169" s="1"/>
      <c r="D169" s="1"/>
      <c r="E169" s="1"/>
      <c r="F169" s="1"/>
      <c r="G169" s="9" t="s">
        <v>1376</v>
      </c>
      <c r="H169" s="9" t="s">
        <v>119</v>
      </c>
      <c r="I169" s="9" t="s">
        <v>1296</v>
      </c>
      <c r="J169" s="9" t="s">
        <v>1912</v>
      </c>
      <c r="K169" s="3" t="s">
        <v>1377</v>
      </c>
      <c r="L169" s="13" t="s">
        <v>1378</v>
      </c>
      <c r="M169" s="15">
        <f t="shared" si="7"/>
        <v>3.2546296296296295E-2</v>
      </c>
      <c r="N169">
        <f t="shared" si="8"/>
        <v>7</v>
      </c>
    </row>
    <row r="170" spans="1:14" x14ac:dyDescent="0.3">
      <c r="A170" s="1"/>
      <c r="B170" s="1"/>
      <c r="C170" s="1"/>
      <c r="D170" s="1"/>
      <c r="E170" s="1"/>
      <c r="F170" s="1"/>
      <c r="G170" s="9" t="s">
        <v>1379</v>
      </c>
      <c r="H170" s="9" t="s">
        <v>119</v>
      </c>
      <c r="I170" s="9" t="s">
        <v>1296</v>
      </c>
      <c r="J170" s="9" t="s">
        <v>1912</v>
      </c>
      <c r="K170" s="3" t="s">
        <v>1380</v>
      </c>
      <c r="L170" s="13" t="s">
        <v>1381</v>
      </c>
      <c r="M170" s="15">
        <f t="shared" si="7"/>
        <v>4.5393518518518472E-2</v>
      </c>
      <c r="N170">
        <f t="shared" si="8"/>
        <v>11</v>
      </c>
    </row>
    <row r="171" spans="1:14" x14ac:dyDescent="0.3">
      <c r="A171" s="1"/>
      <c r="B171" s="1"/>
      <c r="C171" s="1"/>
      <c r="D171" s="1"/>
      <c r="E171" s="1"/>
      <c r="F171" s="1"/>
      <c r="G171" s="9" t="s">
        <v>1382</v>
      </c>
      <c r="H171" s="9" t="s">
        <v>119</v>
      </c>
      <c r="I171" s="9" t="s">
        <v>1296</v>
      </c>
      <c r="J171" s="9" t="s">
        <v>1912</v>
      </c>
      <c r="K171" s="3" t="s">
        <v>1383</v>
      </c>
      <c r="L171" s="13" t="s">
        <v>1384</v>
      </c>
      <c r="M171" s="15">
        <f t="shared" si="7"/>
        <v>1.8391203703703618E-2</v>
      </c>
      <c r="N171">
        <f t="shared" si="8"/>
        <v>17</v>
      </c>
    </row>
    <row r="172" spans="1:14" x14ac:dyDescent="0.3">
      <c r="A172" s="1"/>
      <c r="B172" s="1"/>
      <c r="C172" s="1"/>
      <c r="D172" s="1"/>
      <c r="E172" s="1"/>
      <c r="F172" s="1"/>
      <c r="G172" s="9" t="s">
        <v>1385</v>
      </c>
      <c r="H172" s="9" t="s">
        <v>119</v>
      </c>
      <c r="I172" s="9" t="s">
        <v>1296</v>
      </c>
      <c r="J172" s="9" t="s">
        <v>1912</v>
      </c>
      <c r="K172" s="3" t="s">
        <v>1386</v>
      </c>
      <c r="L172" s="13" t="s">
        <v>1387</v>
      </c>
      <c r="M172" s="15">
        <f t="shared" si="7"/>
        <v>1.2303240740740629E-2</v>
      </c>
      <c r="N172">
        <f t="shared" si="8"/>
        <v>20</v>
      </c>
    </row>
    <row r="173" spans="1:14" x14ac:dyDescent="0.3">
      <c r="A173" s="1"/>
      <c r="B173" s="1"/>
      <c r="C173" s="1"/>
      <c r="D173" s="1"/>
      <c r="E173" s="1"/>
      <c r="F173" s="1"/>
      <c r="G173" s="9" t="s">
        <v>1388</v>
      </c>
      <c r="H173" s="9" t="s">
        <v>119</v>
      </c>
      <c r="I173" s="9" t="s">
        <v>1296</v>
      </c>
      <c r="J173" s="9" t="s">
        <v>1912</v>
      </c>
      <c r="K173" s="3" t="s">
        <v>1389</v>
      </c>
      <c r="L173" s="16" t="s">
        <v>1390</v>
      </c>
      <c r="M173" s="15">
        <f t="shared" si="7"/>
        <v>2.9212962962962941E-2</v>
      </c>
      <c r="N173">
        <f t="shared" si="8"/>
        <v>23</v>
      </c>
    </row>
    <row r="174" spans="1:14" x14ac:dyDescent="0.3">
      <c r="A174" s="1"/>
      <c r="B174" s="1"/>
      <c r="C174" s="1"/>
      <c r="D174" s="1"/>
      <c r="E174" s="1"/>
      <c r="F174" s="1"/>
      <c r="G174" s="9" t="s">
        <v>2000</v>
      </c>
      <c r="H174" s="9" t="s">
        <v>119</v>
      </c>
      <c r="I174" s="9" t="s">
        <v>1914</v>
      </c>
      <c r="J174" s="9" t="s">
        <v>1912</v>
      </c>
      <c r="K174" s="3" t="s">
        <v>2001</v>
      </c>
      <c r="L174" s="13" t="s">
        <v>2002</v>
      </c>
      <c r="M174" s="15">
        <f t="shared" si="7"/>
        <v>1.7777777777777795E-2</v>
      </c>
      <c r="N174">
        <f t="shared" si="8"/>
        <v>2</v>
      </c>
    </row>
    <row r="175" spans="1:14" x14ac:dyDescent="0.3">
      <c r="A175" s="1"/>
      <c r="B175" s="1"/>
      <c r="C175" s="1"/>
      <c r="D175" s="1"/>
      <c r="E175" s="1"/>
      <c r="F175" s="1"/>
      <c r="G175" s="9" t="s">
        <v>2003</v>
      </c>
      <c r="H175" s="9" t="s">
        <v>119</v>
      </c>
      <c r="I175" s="9" t="s">
        <v>1914</v>
      </c>
      <c r="J175" s="9" t="s">
        <v>1912</v>
      </c>
      <c r="K175" s="3" t="s">
        <v>2004</v>
      </c>
      <c r="L175" s="13" t="s">
        <v>2005</v>
      </c>
      <c r="M175" s="15">
        <f t="shared" si="7"/>
        <v>3.8148148148148098E-2</v>
      </c>
      <c r="N175">
        <f t="shared" si="8"/>
        <v>8</v>
      </c>
    </row>
    <row r="176" spans="1:14" x14ac:dyDescent="0.3">
      <c r="A176" s="1"/>
      <c r="B176" s="1"/>
      <c r="C176" s="1"/>
      <c r="D176" s="1"/>
      <c r="E176" s="1"/>
      <c r="F176" s="1"/>
      <c r="G176" s="9" t="s">
        <v>2006</v>
      </c>
      <c r="H176" s="9" t="s">
        <v>119</v>
      </c>
      <c r="I176" s="9" t="s">
        <v>1914</v>
      </c>
      <c r="J176" s="9" t="s">
        <v>1912</v>
      </c>
      <c r="K176" s="3" t="s">
        <v>2007</v>
      </c>
      <c r="L176" s="13" t="s">
        <v>2008</v>
      </c>
      <c r="M176" s="15">
        <f t="shared" si="7"/>
        <v>1.7662037037037004E-2</v>
      </c>
      <c r="N176">
        <f t="shared" si="8"/>
        <v>9</v>
      </c>
    </row>
    <row r="177" spans="1:14" x14ac:dyDescent="0.3">
      <c r="A177" s="1"/>
      <c r="B177" s="1"/>
      <c r="C177" s="1"/>
      <c r="D177" s="1"/>
      <c r="E177" s="1"/>
      <c r="F177" s="1"/>
      <c r="G177" s="9" t="s">
        <v>2009</v>
      </c>
      <c r="H177" s="9" t="s">
        <v>119</v>
      </c>
      <c r="I177" s="9" t="s">
        <v>1914</v>
      </c>
      <c r="J177" s="9" t="s">
        <v>1912</v>
      </c>
      <c r="K177" s="3" t="s">
        <v>2010</v>
      </c>
      <c r="L177" s="13" t="s">
        <v>2011</v>
      </c>
      <c r="M177" s="15">
        <f t="shared" si="7"/>
        <v>5.3055555555555522E-2</v>
      </c>
      <c r="N177">
        <f t="shared" si="8"/>
        <v>12</v>
      </c>
    </row>
    <row r="178" spans="1:14" x14ac:dyDescent="0.3">
      <c r="A178" s="1"/>
      <c r="B178" s="1"/>
      <c r="C178" s="1"/>
      <c r="D178" s="1"/>
      <c r="E178" s="1"/>
      <c r="F178" s="1"/>
      <c r="G178" s="9" t="s">
        <v>2012</v>
      </c>
      <c r="H178" s="9" t="s">
        <v>119</v>
      </c>
      <c r="I178" s="9" t="s">
        <v>1914</v>
      </c>
      <c r="J178" s="9" t="s">
        <v>1912</v>
      </c>
      <c r="K178" s="3" t="s">
        <v>2013</v>
      </c>
      <c r="L178" s="13" t="s">
        <v>2014</v>
      </c>
      <c r="M178" s="15">
        <f t="shared" si="7"/>
        <v>1.6724537037037024E-2</v>
      </c>
      <c r="N178">
        <f t="shared" si="8"/>
        <v>13</v>
      </c>
    </row>
    <row r="179" spans="1:14" x14ac:dyDescent="0.3">
      <c r="A179" s="1"/>
      <c r="B179" s="1"/>
      <c r="C179" s="1"/>
      <c r="D179" s="1"/>
      <c r="E179" s="1"/>
      <c r="F179" s="1"/>
      <c r="G179" s="9" t="s">
        <v>2015</v>
      </c>
      <c r="H179" s="9" t="s">
        <v>119</v>
      </c>
      <c r="I179" s="9" t="s">
        <v>1914</v>
      </c>
      <c r="J179" s="9" t="s">
        <v>1912</v>
      </c>
      <c r="K179" s="3" t="s">
        <v>2016</v>
      </c>
      <c r="L179" s="13" t="s">
        <v>2017</v>
      </c>
      <c r="M179" s="15">
        <f t="shared" si="7"/>
        <v>2.18518518518519E-2</v>
      </c>
      <c r="N179">
        <f t="shared" si="8"/>
        <v>16</v>
      </c>
    </row>
    <row r="180" spans="1:14" x14ac:dyDescent="0.3">
      <c r="A180" s="1"/>
      <c r="B180" s="1"/>
      <c r="C180" s="1"/>
      <c r="D180" s="1"/>
      <c r="E180" s="9" t="s">
        <v>125</v>
      </c>
      <c r="F180" s="9" t="s">
        <v>22</v>
      </c>
      <c r="G180" s="11" t="s">
        <v>19</v>
      </c>
      <c r="H180" s="2"/>
      <c r="I180" s="2"/>
      <c r="J180" s="7"/>
      <c r="K180" s="4"/>
      <c r="L180" s="12"/>
    </row>
    <row r="181" spans="1:14" x14ac:dyDescent="0.3">
      <c r="A181" s="1"/>
      <c r="B181" s="1"/>
      <c r="C181" s="1"/>
      <c r="D181" s="1"/>
      <c r="E181" s="1"/>
      <c r="F181" s="1"/>
      <c r="G181" s="9" t="s">
        <v>126</v>
      </c>
      <c r="H181" s="9" t="s">
        <v>127</v>
      </c>
      <c r="I181" s="9" t="s">
        <v>25</v>
      </c>
      <c r="J181" s="9" t="s">
        <v>1912</v>
      </c>
      <c r="K181" s="3" t="s">
        <v>128</v>
      </c>
      <c r="L181" s="13" t="s">
        <v>129</v>
      </c>
      <c r="M181" s="15">
        <f t="shared" si="7"/>
        <v>1.3391203703703697E-2</v>
      </c>
      <c r="N181">
        <f t="shared" si="8"/>
        <v>1</v>
      </c>
    </row>
    <row r="182" spans="1:14" x14ac:dyDescent="0.3">
      <c r="A182" s="1"/>
      <c r="B182" s="1"/>
      <c r="C182" s="1"/>
      <c r="D182" s="1"/>
      <c r="E182" s="1"/>
      <c r="F182" s="1"/>
      <c r="G182" s="9" t="s">
        <v>130</v>
      </c>
      <c r="H182" s="9" t="s">
        <v>127</v>
      </c>
      <c r="I182" s="9" t="s">
        <v>25</v>
      </c>
      <c r="J182" s="9" t="s">
        <v>1912</v>
      </c>
      <c r="K182" s="3" t="s">
        <v>131</v>
      </c>
      <c r="L182" s="13" t="s">
        <v>132</v>
      </c>
      <c r="M182" s="15">
        <f t="shared" si="7"/>
        <v>1.7893518518518503E-2</v>
      </c>
      <c r="N182">
        <f t="shared" si="8"/>
        <v>9</v>
      </c>
    </row>
    <row r="183" spans="1:14" x14ac:dyDescent="0.3">
      <c r="A183" s="1"/>
      <c r="B183" s="1"/>
      <c r="C183" s="1"/>
      <c r="D183" s="1"/>
      <c r="E183" s="1"/>
      <c r="F183" s="1"/>
      <c r="G183" s="9" t="s">
        <v>133</v>
      </c>
      <c r="H183" s="9" t="s">
        <v>127</v>
      </c>
      <c r="I183" s="9" t="s">
        <v>25</v>
      </c>
      <c r="J183" s="9" t="s">
        <v>1912</v>
      </c>
      <c r="K183" s="3" t="s">
        <v>134</v>
      </c>
      <c r="L183" s="13" t="s">
        <v>135</v>
      </c>
      <c r="M183" s="15">
        <f t="shared" si="7"/>
        <v>1.3900462962962989E-2</v>
      </c>
      <c r="N183">
        <f t="shared" si="8"/>
        <v>21</v>
      </c>
    </row>
    <row r="184" spans="1:14" x14ac:dyDescent="0.3">
      <c r="A184" s="1"/>
      <c r="B184" s="1"/>
      <c r="C184" s="1"/>
      <c r="D184" s="1"/>
      <c r="E184" s="1"/>
      <c r="F184" s="1"/>
      <c r="G184" s="9" t="s">
        <v>550</v>
      </c>
      <c r="H184" s="9" t="s">
        <v>127</v>
      </c>
      <c r="I184" s="9" t="s">
        <v>486</v>
      </c>
      <c r="J184" s="9" t="s">
        <v>1912</v>
      </c>
      <c r="K184" s="3" t="s">
        <v>551</v>
      </c>
      <c r="L184" s="13" t="s">
        <v>552</v>
      </c>
      <c r="M184" s="15">
        <f t="shared" si="7"/>
        <v>1.9571759259259275E-2</v>
      </c>
      <c r="N184">
        <f t="shared" si="8"/>
        <v>5</v>
      </c>
    </row>
    <row r="185" spans="1:14" x14ac:dyDescent="0.3">
      <c r="A185" s="1"/>
      <c r="B185" s="1"/>
      <c r="C185" s="1"/>
      <c r="D185" s="1"/>
      <c r="E185" s="1"/>
      <c r="F185" s="1"/>
      <c r="G185" s="9" t="s">
        <v>553</v>
      </c>
      <c r="H185" s="9" t="s">
        <v>127</v>
      </c>
      <c r="I185" s="9" t="s">
        <v>486</v>
      </c>
      <c r="J185" s="9" t="s">
        <v>1912</v>
      </c>
      <c r="K185" s="3" t="s">
        <v>554</v>
      </c>
      <c r="L185" s="13" t="s">
        <v>555</v>
      </c>
      <c r="M185" s="15">
        <f t="shared" si="7"/>
        <v>1.5173611111111096E-2</v>
      </c>
      <c r="N185">
        <f t="shared" si="8"/>
        <v>9</v>
      </c>
    </row>
    <row r="186" spans="1:14" x14ac:dyDescent="0.3">
      <c r="A186" s="1"/>
      <c r="B186" s="1"/>
      <c r="C186" s="1"/>
      <c r="D186" s="1"/>
      <c r="E186" s="1"/>
      <c r="F186" s="1"/>
      <c r="G186" s="9" t="s">
        <v>556</v>
      </c>
      <c r="H186" s="9" t="s">
        <v>127</v>
      </c>
      <c r="I186" s="9" t="s">
        <v>486</v>
      </c>
      <c r="J186" s="9" t="s">
        <v>1912</v>
      </c>
      <c r="K186" s="3" t="s">
        <v>557</v>
      </c>
      <c r="L186" s="13" t="s">
        <v>558</v>
      </c>
      <c r="M186" s="15">
        <f t="shared" si="7"/>
        <v>1.6747685185185213E-2</v>
      </c>
      <c r="N186">
        <f t="shared" si="8"/>
        <v>12</v>
      </c>
    </row>
    <row r="187" spans="1:14" x14ac:dyDescent="0.3">
      <c r="A187" s="1"/>
      <c r="B187" s="1"/>
      <c r="C187" s="1"/>
      <c r="D187" s="1"/>
      <c r="E187" s="1"/>
      <c r="F187" s="1"/>
      <c r="G187" s="9" t="s">
        <v>559</v>
      </c>
      <c r="H187" s="9" t="s">
        <v>127</v>
      </c>
      <c r="I187" s="9" t="s">
        <v>486</v>
      </c>
      <c r="J187" s="9" t="s">
        <v>1912</v>
      </c>
      <c r="K187" s="3" t="s">
        <v>560</v>
      </c>
      <c r="L187" s="13" t="s">
        <v>561</v>
      </c>
      <c r="M187" s="15">
        <f t="shared" si="7"/>
        <v>1.3472222222222219E-2</v>
      </c>
      <c r="N187">
        <f t="shared" si="8"/>
        <v>20</v>
      </c>
    </row>
    <row r="188" spans="1:14" x14ac:dyDescent="0.3">
      <c r="A188" s="1"/>
      <c r="B188" s="1"/>
      <c r="C188" s="1"/>
      <c r="D188" s="1"/>
      <c r="E188" s="1"/>
      <c r="F188" s="1"/>
      <c r="G188" s="9" t="s">
        <v>997</v>
      </c>
      <c r="H188" s="9" t="s">
        <v>127</v>
      </c>
      <c r="I188" s="9" t="s">
        <v>926</v>
      </c>
      <c r="J188" s="9" t="s">
        <v>1912</v>
      </c>
      <c r="K188" s="3" t="s">
        <v>998</v>
      </c>
      <c r="L188" s="13" t="s">
        <v>999</v>
      </c>
      <c r="M188" s="15">
        <f t="shared" si="7"/>
        <v>1.8368055555555485E-2</v>
      </c>
      <c r="N188">
        <f t="shared" si="8"/>
        <v>8</v>
      </c>
    </row>
    <row r="189" spans="1:14" x14ac:dyDescent="0.3">
      <c r="A189" s="1"/>
      <c r="B189" s="1"/>
      <c r="C189" s="1"/>
      <c r="D189" s="1"/>
      <c r="E189" s="1"/>
      <c r="F189" s="1"/>
      <c r="G189" s="9" t="s">
        <v>1000</v>
      </c>
      <c r="H189" s="9" t="s">
        <v>127</v>
      </c>
      <c r="I189" s="9" t="s">
        <v>926</v>
      </c>
      <c r="J189" s="9" t="s">
        <v>1912</v>
      </c>
      <c r="K189" s="3" t="s">
        <v>1001</v>
      </c>
      <c r="L189" s="13" t="s">
        <v>1002</v>
      </c>
      <c r="M189" s="15">
        <f t="shared" si="7"/>
        <v>2.2476851851851887E-2</v>
      </c>
      <c r="N189">
        <f t="shared" si="8"/>
        <v>19</v>
      </c>
    </row>
    <row r="190" spans="1:14" x14ac:dyDescent="0.3">
      <c r="A190" s="1"/>
      <c r="B190" s="1"/>
      <c r="C190" s="1"/>
      <c r="D190" s="1"/>
      <c r="E190" s="1"/>
      <c r="F190" s="1"/>
      <c r="G190" s="9" t="s">
        <v>1391</v>
      </c>
      <c r="H190" s="9" t="s">
        <v>127</v>
      </c>
      <c r="I190" s="9" t="s">
        <v>1296</v>
      </c>
      <c r="J190" s="9" t="s">
        <v>1912</v>
      </c>
      <c r="K190" s="3" t="s">
        <v>1392</v>
      </c>
      <c r="L190" s="13" t="s">
        <v>1393</v>
      </c>
      <c r="M190" s="15">
        <f t="shared" si="7"/>
        <v>1.7592592592592576E-2</v>
      </c>
      <c r="N190">
        <f t="shared" si="8"/>
        <v>2</v>
      </c>
    </row>
    <row r="191" spans="1:14" x14ac:dyDescent="0.3">
      <c r="A191" s="1"/>
      <c r="B191" s="1"/>
      <c r="C191" s="1"/>
      <c r="D191" s="1"/>
      <c r="E191" s="1"/>
      <c r="F191" s="1"/>
      <c r="G191" s="9" t="s">
        <v>1394</v>
      </c>
      <c r="H191" s="9" t="s">
        <v>127</v>
      </c>
      <c r="I191" s="9" t="s">
        <v>1296</v>
      </c>
      <c r="J191" s="9" t="s">
        <v>1912</v>
      </c>
      <c r="K191" s="3" t="s">
        <v>1395</v>
      </c>
      <c r="L191" s="13" t="s">
        <v>1396</v>
      </c>
      <c r="M191" s="15">
        <f t="shared" si="7"/>
        <v>2.0219907407407395E-2</v>
      </c>
      <c r="N191">
        <f t="shared" si="8"/>
        <v>4</v>
      </c>
    </row>
    <row r="192" spans="1:14" x14ac:dyDescent="0.3">
      <c r="A192" s="1"/>
      <c r="B192" s="1"/>
      <c r="C192" s="1"/>
      <c r="D192" s="1"/>
      <c r="E192" s="1"/>
      <c r="F192" s="1"/>
      <c r="G192" s="9" t="s">
        <v>1397</v>
      </c>
      <c r="H192" s="9" t="s">
        <v>127</v>
      </c>
      <c r="I192" s="9" t="s">
        <v>1296</v>
      </c>
      <c r="J192" s="9" t="s">
        <v>1912</v>
      </c>
      <c r="K192" s="3" t="s">
        <v>1398</v>
      </c>
      <c r="L192" s="13" t="s">
        <v>1399</v>
      </c>
      <c r="M192" s="15">
        <f t="shared" si="7"/>
        <v>2.1712962962962934E-2</v>
      </c>
      <c r="N192">
        <f t="shared" si="8"/>
        <v>7</v>
      </c>
    </row>
    <row r="193" spans="1:14" x14ac:dyDescent="0.3">
      <c r="A193" s="1"/>
      <c r="B193" s="1"/>
      <c r="C193" s="1"/>
      <c r="D193" s="1"/>
      <c r="E193" s="1"/>
      <c r="F193" s="1"/>
      <c r="G193" s="9" t="s">
        <v>1400</v>
      </c>
      <c r="H193" s="9" t="s">
        <v>127</v>
      </c>
      <c r="I193" s="9" t="s">
        <v>1296</v>
      </c>
      <c r="J193" s="9" t="s">
        <v>1912</v>
      </c>
      <c r="K193" s="3" t="s">
        <v>1401</v>
      </c>
      <c r="L193" s="13" t="s">
        <v>1402</v>
      </c>
      <c r="M193" s="15">
        <f t="shared" si="7"/>
        <v>1.8483796296296373E-2</v>
      </c>
      <c r="N193">
        <f t="shared" si="8"/>
        <v>10</v>
      </c>
    </row>
    <row r="194" spans="1:14" x14ac:dyDescent="0.3">
      <c r="A194" s="1"/>
      <c r="B194" s="1"/>
      <c r="C194" s="1"/>
      <c r="D194" s="1"/>
      <c r="E194" s="1"/>
      <c r="F194" s="1"/>
      <c r="G194" s="9" t="s">
        <v>1403</v>
      </c>
      <c r="H194" s="9" t="s">
        <v>127</v>
      </c>
      <c r="I194" s="9" t="s">
        <v>1296</v>
      </c>
      <c r="J194" s="9" t="s">
        <v>1912</v>
      </c>
      <c r="K194" s="3" t="s">
        <v>1404</v>
      </c>
      <c r="L194" s="13" t="s">
        <v>1405</v>
      </c>
      <c r="M194" s="15">
        <f t="shared" si="7"/>
        <v>1.373842592592589E-2</v>
      </c>
      <c r="N194">
        <f t="shared" si="8"/>
        <v>20</v>
      </c>
    </row>
    <row r="195" spans="1:14" x14ac:dyDescent="0.3">
      <c r="A195" s="1"/>
      <c r="B195" s="1"/>
      <c r="C195" s="1"/>
      <c r="D195" s="1"/>
      <c r="E195" s="1"/>
      <c r="F195" s="1"/>
      <c r="G195" s="9" t="s">
        <v>1406</v>
      </c>
      <c r="H195" s="9" t="s">
        <v>127</v>
      </c>
      <c r="I195" s="9" t="s">
        <v>1296</v>
      </c>
      <c r="J195" s="9" t="s">
        <v>1912</v>
      </c>
      <c r="K195" s="3" t="s">
        <v>1407</v>
      </c>
      <c r="L195" s="16" t="s">
        <v>1408</v>
      </c>
      <c r="M195" s="15">
        <f t="shared" ref="M195:M258" si="9">L195-K195</f>
        <v>1.6597222222222152E-2</v>
      </c>
      <c r="N195">
        <f t="shared" ref="N195:N258" si="10">HOUR(K195)</f>
        <v>23</v>
      </c>
    </row>
    <row r="196" spans="1:14" x14ac:dyDescent="0.3">
      <c r="A196" s="1"/>
      <c r="B196" s="1"/>
      <c r="C196" s="1"/>
      <c r="D196" s="1"/>
      <c r="E196" s="1"/>
      <c r="F196" s="1"/>
      <c r="G196" s="9" t="s">
        <v>2018</v>
      </c>
      <c r="H196" s="9" t="s">
        <v>127</v>
      </c>
      <c r="I196" s="9" t="s">
        <v>1914</v>
      </c>
      <c r="J196" s="9" t="s">
        <v>1912</v>
      </c>
      <c r="K196" s="3" t="s">
        <v>2019</v>
      </c>
      <c r="L196" s="13" t="s">
        <v>2020</v>
      </c>
      <c r="M196" s="15">
        <f t="shared" si="9"/>
        <v>1.71412037037037E-2</v>
      </c>
      <c r="N196">
        <f t="shared" si="10"/>
        <v>9</v>
      </c>
    </row>
    <row r="197" spans="1:14" x14ac:dyDescent="0.3">
      <c r="A197" s="1"/>
      <c r="B197" s="1"/>
      <c r="C197" s="1"/>
      <c r="D197" s="1"/>
      <c r="E197" s="1"/>
      <c r="F197" s="1"/>
      <c r="G197" s="9" t="s">
        <v>2021</v>
      </c>
      <c r="H197" s="9" t="s">
        <v>127</v>
      </c>
      <c r="I197" s="9" t="s">
        <v>1945</v>
      </c>
      <c r="J197" s="9" t="s">
        <v>1912</v>
      </c>
      <c r="K197" s="3" t="s">
        <v>2022</v>
      </c>
      <c r="L197" s="13" t="s">
        <v>2023</v>
      </c>
      <c r="M197" s="15">
        <f t="shared" si="9"/>
        <v>1.5243055555555565E-2</v>
      </c>
      <c r="N197">
        <f t="shared" si="10"/>
        <v>2</v>
      </c>
    </row>
    <row r="198" spans="1:14" x14ac:dyDescent="0.3">
      <c r="A198" s="1"/>
      <c r="B198" s="1"/>
      <c r="C198" s="1"/>
      <c r="D198" s="1"/>
      <c r="E198" s="1"/>
      <c r="F198" s="1"/>
      <c r="G198" s="9" t="s">
        <v>2024</v>
      </c>
      <c r="H198" s="9" t="s">
        <v>127</v>
      </c>
      <c r="I198" s="9" t="s">
        <v>1945</v>
      </c>
      <c r="J198" s="9" t="s">
        <v>1912</v>
      </c>
      <c r="K198" s="3" t="s">
        <v>2025</v>
      </c>
      <c r="L198" s="13" t="s">
        <v>2026</v>
      </c>
      <c r="M198" s="15">
        <f t="shared" si="9"/>
        <v>2.7476851851851836E-2</v>
      </c>
      <c r="N198">
        <f t="shared" si="10"/>
        <v>3</v>
      </c>
    </row>
    <row r="199" spans="1:14" x14ac:dyDescent="0.3">
      <c r="A199" s="1"/>
      <c r="B199" s="1"/>
      <c r="C199" s="1"/>
      <c r="D199" s="1"/>
      <c r="E199" s="1"/>
      <c r="F199" s="1"/>
      <c r="G199" s="9" t="s">
        <v>2027</v>
      </c>
      <c r="H199" s="9" t="s">
        <v>127</v>
      </c>
      <c r="I199" s="9" t="s">
        <v>1945</v>
      </c>
      <c r="J199" s="9" t="s">
        <v>1912</v>
      </c>
      <c r="K199" s="3" t="s">
        <v>2028</v>
      </c>
      <c r="L199" s="13" t="s">
        <v>2029</v>
      </c>
      <c r="M199" s="15">
        <f t="shared" si="9"/>
        <v>1.5324074074074073E-2</v>
      </c>
      <c r="N199">
        <f t="shared" si="10"/>
        <v>5</v>
      </c>
    </row>
    <row r="200" spans="1:14" x14ac:dyDescent="0.3">
      <c r="A200" s="1"/>
      <c r="B200" s="1"/>
      <c r="C200" s="1"/>
      <c r="D200" s="1"/>
      <c r="E200" s="1"/>
      <c r="F200" s="1"/>
      <c r="G200" s="9" t="s">
        <v>2030</v>
      </c>
      <c r="H200" s="9" t="s">
        <v>127</v>
      </c>
      <c r="I200" s="9" t="s">
        <v>1945</v>
      </c>
      <c r="J200" s="9" t="s">
        <v>1912</v>
      </c>
      <c r="K200" s="3" t="s">
        <v>2031</v>
      </c>
      <c r="L200" s="13" t="s">
        <v>2032</v>
      </c>
      <c r="M200" s="15">
        <f t="shared" si="9"/>
        <v>2.2592592592592553E-2</v>
      </c>
      <c r="N200">
        <f t="shared" si="10"/>
        <v>6</v>
      </c>
    </row>
    <row r="201" spans="1:14" x14ac:dyDescent="0.3">
      <c r="A201" s="1"/>
      <c r="B201" s="1"/>
      <c r="C201" s="1"/>
      <c r="D201" s="1"/>
      <c r="E201" s="1"/>
      <c r="F201" s="1"/>
      <c r="G201" s="9" t="s">
        <v>2033</v>
      </c>
      <c r="H201" s="9" t="s">
        <v>127</v>
      </c>
      <c r="I201" s="9" t="s">
        <v>1945</v>
      </c>
      <c r="J201" s="9" t="s">
        <v>1912</v>
      </c>
      <c r="K201" s="3" t="s">
        <v>2034</v>
      </c>
      <c r="L201" s="13" t="s">
        <v>2035</v>
      </c>
      <c r="M201" s="15">
        <f t="shared" si="9"/>
        <v>1.5636574074074039E-2</v>
      </c>
      <c r="N201">
        <f t="shared" si="10"/>
        <v>9</v>
      </c>
    </row>
    <row r="202" spans="1:14" x14ac:dyDescent="0.3">
      <c r="A202" s="1"/>
      <c r="B202" s="1"/>
      <c r="C202" s="1"/>
      <c r="D202" s="1"/>
      <c r="E202" s="1"/>
      <c r="F202" s="1"/>
      <c r="G202" s="9" t="s">
        <v>2036</v>
      </c>
      <c r="H202" s="9" t="s">
        <v>127</v>
      </c>
      <c r="I202" s="9" t="s">
        <v>1945</v>
      </c>
      <c r="J202" s="9" t="s">
        <v>1912</v>
      </c>
      <c r="K202" s="3" t="s">
        <v>2037</v>
      </c>
      <c r="L202" s="13" t="s">
        <v>2038</v>
      </c>
      <c r="M202" s="15">
        <f t="shared" si="9"/>
        <v>1.6793981481481479E-2</v>
      </c>
      <c r="N202">
        <f t="shared" si="10"/>
        <v>10</v>
      </c>
    </row>
    <row r="203" spans="1:14" x14ac:dyDescent="0.3">
      <c r="A203" s="1"/>
      <c r="B203" s="1"/>
      <c r="C203" s="9" t="s">
        <v>136</v>
      </c>
      <c r="D203" s="9" t="s">
        <v>137</v>
      </c>
      <c r="E203" s="9" t="s">
        <v>137</v>
      </c>
      <c r="F203" s="9" t="s">
        <v>22</v>
      </c>
      <c r="G203" s="11" t="s">
        <v>19</v>
      </c>
      <c r="H203" s="2"/>
      <c r="I203" s="2"/>
      <c r="J203" s="7"/>
      <c r="K203" s="4"/>
      <c r="L203" s="12"/>
    </row>
    <row r="204" spans="1:14" x14ac:dyDescent="0.3">
      <c r="A204" s="1"/>
      <c r="B204" s="1"/>
      <c r="C204" s="1"/>
      <c r="D204" s="1"/>
      <c r="E204" s="1"/>
      <c r="F204" s="1"/>
      <c r="G204" s="9" t="s">
        <v>138</v>
      </c>
      <c r="H204" s="9" t="s">
        <v>119</v>
      </c>
      <c r="I204" s="9" t="s">
        <v>25</v>
      </c>
      <c r="J204" s="9" t="s">
        <v>1912</v>
      </c>
      <c r="K204" s="3" t="s">
        <v>139</v>
      </c>
      <c r="L204" s="13" t="s">
        <v>140</v>
      </c>
      <c r="M204" s="15">
        <f t="shared" si="9"/>
        <v>1.2673611111111094E-2</v>
      </c>
      <c r="N204">
        <f t="shared" si="10"/>
        <v>4</v>
      </c>
    </row>
    <row r="205" spans="1:14" x14ac:dyDescent="0.3">
      <c r="A205" s="1"/>
      <c r="B205" s="1"/>
      <c r="C205" s="1"/>
      <c r="D205" s="1"/>
      <c r="E205" s="1"/>
      <c r="F205" s="1"/>
      <c r="G205" s="9" t="s">
        <v>141</v>
      </c>
      <c r="H205" s="9" t="s">
        <v>119</v>
      </c>
      <c r="I205" s="9" t="s">
        <v>25</v>
      </c>
      <c r="J205" s="9" t="s">
        <v>1912</v>
      </c>
      <c r="K205" s="3" t="s">
        <v>142</v>
      </c>
      <c r="L205" s="13" t="s">
        <v>143</v>
      </c>
      <c r="M205" s="15">
        <f t="shared" si="9"/>
        <v>1.8113425925925908E-2</v>
      </c>
      <c r="N205">
        <f t="shared" si="10"/>
        <v>9</v>
      </c>
    </row>
    <row r="206" spans="1:14" x14ac:dyDescent="0.3">
      <c r="A206" s="1"/>
      <c r="B206" s="1"/>
      <c r="C206" s="1"/>
      <c r="D206" s="1"/>
      <c r="E206" s="1"/>
      <c r="F206" s="1"/>
      <c r="G206" s="9" t="s">
        <v>144</v>
      </c>
      <c r="H206" s="9" t="s">
        <v>119</v>
      </c>
      <c r="I206" s="9" t="s">
        <v>25</v>
      </c>
      <c r="J206" s="9" t="s">
        <v>1912</v>
      </c>
      <c r="K206" s="3" t="s">
        <v>145</v>
      </c>
      <c r="L206" s="13" t="s">
        <v>146</v>
      </c>
      <c r="M206" s="15">
        <f t="shared" si="9"/>
        <v>2.4861111111111112E-2</v>
      </c>
      <c r="N206">
        <f t="shared" si="10"/>
        <v>13</v>
      </c>
    </row>
    <row r="207" spans="1:14" x14ac:dyDescent="0.3">
      <c r="A207" s="1"/>
      <c r="B207" s="1"/>
      <c r="C207" s="1"/>
      <c r="D207" s="1"/>
      <c r="E207" s="1"/>
      <c r="F207" s="1"/>
      <c r="G207" s="9" t="s">
        <v>562</v>
      </c>
      <c r="H207" s="9" t="s">
        <v>119</v>
      </c>
      <c r="I207" s="9" t="s">
        <v>486</v>
      </c>
      <c r="J207" s="9" t="s">
        <v>1912</v>
      </c>
      <c r="K207" s="3" t="s">
        <v>563</v>
      </c>
      <c r="L207" s="13" t="s">
        <v>564</v>
      </c>
      <c r="M207" s="15">
        <f t="shared" si="9"/>
        <v>2.7986111111111101E-2</v>
      </c>
      <c r="N207">
        <f t="shared" si="10"/>
        <v>11</v>
      </c>
    </row>
    <row r="208" spans="1:14" x14ac:dyDescent="0.3">
      <c r="A208" s="1"/>
      <c r="B208" s="1"/>
      <c r="C208" s="1"/>
      <c r="D208" s="1"/>
      <c r="E208" s="1"/>
      <c r="F208" s="1"/>
      <c r="G208" s="9" t="s">
        <v>565</v>
      </c>
      <c r="H208" s="9" t="s">
        <v>119</v>
      </c>
      <c r="I208" s="9" t="s">
        <v>486</v>
      </c>
      <c r="J208" s="9" t="s">
        <v>1912</v>
      </c>
      <c r="K208" s="3" t="s">
        <v>566</v>
      </c>
      <c r="L208" s="13" t="s">
        <v>567</v>
      </c>
      <c r="M208" s="15">
        <f t="shared" si="9"/>
        <v>2.0891203703703676E-2</v>
      </c>
      <c r="N208">
        <f t="shared" si="10"/>
        <v>13</v>
      </c>
    </row>
    <row r="209" spans="1:14" x14ac:dyDescent="0.3">
      <c r="A209" s="1"/>
      <c r="B209" s="1"/>
      <c r="C209" s="1"/>
      <c r="D209" s="1"/>
      <c r="E209" s="1"/>
      <c r="F209" s="1"/>
      <c r="G209" s="9" t="s">
        <v>1003</v>
      </c>
      <c r="H209" s="9" t="s">
        <v>119</v>
      </c>
      <c r="I209" s="9" t="s">
        <v>926</v>
      </c>
      <c r="J209" s="9" t="s">
        <v>1912</v>
      </c>
      <c r="K209" s="3" t="s">
        <v>1004</v>
      </c>
      <c r="L209" s="13" t="s">
        <v>1005</v>
      </c>
      <c r="M209" s="15">
        <f t="shared" si="9"/>
        <v>1.6932870370370445E-2</v>
      </c>
      <c r="N209">
        <f t="shared" si="10"/>
        <v>11</v>
      </c>
    </row>
    <row r="210" spans="1:14" x14ac:dyDescent="0.3">
      <c r="A210" s="1"/>
      <c r="B210" s="1"/>
      <c r="C210" s="1"/>
      <c r="D210" s="1"/>
      <c r="E210" s="1"/>
      <c r="F210" s="1"/>
      <c r="G210" s="9" t="s">
        <v>1006</v>
      </c>
      <c r="H210" s="9" t="s">
        <v>119</v>
      </c>
      <c r="I210" s="9" t="s">
        <v>926</v>
      </c>
      <c r="J210" s="9" t="s">
        <v>1912</v>
      </c>
      <c r="K210" s="3" t="s">
        <v>1007</v>
      </c>
      <c r="L210" s="13" t="s">
        <v>1008</v>
      </c>
      <c r="M210" s="15">
        <f t="shared" si="9"/>
        <v>2.5266203703703694E-2</v>
      </c>
      <c r="N210">
        <f t="shared" si="10"/>
        <v>14</v>
      </c>
    </row>
    <row r="211" spans="1:14" x14ac:dyDescent="0.3">
      <c r="A211" s="1"/>
      <c r="B211" s="1"/>
      <c r="C211" s="1"/>
      <c r="D211" s="1"/>
      <c r="E211" s="1"/>
      <c r="F211" s="1"/>
      <c r="G211" s="9" t="s">
        <v>1409</v>
      </c>
      <c r="H211" s="9" t="s">
        <v>119</v>
      </c>
      <c r="I211" s="9" t="s">
        <v>1296</v>
      </c>
      <c r="J211" s="9" t="s">
        <v>1912</v>
      </c>
      <c r="K211" s="3" t="s">
        <v>1410</v>
      </c>
      <c r="L211" s="13" t="s">
        <v>1411</v>
      </c>
      <c r="M211" s="15">
        <f t="shared" si="9"/>
        <v>1.3564814814814835E-2</v>
      </c>
      <c r="N211">
        <f t="shared" si="10"/>
        <v>4</v>
      </c>
    </row>
    <row r="212" spans="1:14" x14ac:dyDescent="0.3">
      <c r="A212" s="1"/>
      <c r="B212" s="1"/>
      <c r="C212" s="1"/>
      <c r="D212" s="1"/>
      <c r="E212" s="1"/>
      <c r="F212" s="1"/>
      <c r="G212" s="9" t="s">
        <v>1412</v>
      </c>
      <c r="H212" s="9" t="s">
        <v>119</v>
      </c>
      <c r="I212" s="9" t="s">
        <v>1296</v>
      </c>
      <c r="J212" s="9" t="s">
        <v>1912</v>
      </c>
      <c r="K212" s="3" t="s">
        <v>1413</v>
      </c>
      <c r="L212" s="13" t="s">
        <v>1414</v>
      </c>
      <c r="M212" s="15">
        <f t="shared" si="9"/>
        <v>2.1319444444444446E-2</v>
      </c>
      <c r="N212">
        <f t="shared" si="10"/>
        <v>8</v>
      </c>
    </row>
    <row r="213" spans="1:14" x14ac:dyDescent="0.3">
      <c r="A213" s="1"/>
      <c r="B213" s="1"/>
      <c r="C213" s="1"/>
      <c r="D213" s="1"/>
      <c r="E213" s="1"/>
      <c r="F213" s="1"/>
      <c r="G213" s="9" t="s">
        <v>1415</v>
      </c>
      <c r="H213" s="9" t="s">
        <v>119</v>
      </c>
      <c r="I213" s="9" t="s">
        <v>1296</v>
      </c>
      <c r="J213" s="9" t="s">
        <v>1912</v>
      </c>
      <c r="K213" s="3" t="s">
        <v>1416</v>
      </c>
      <c r="L213" s="13" t="s">
        <v>1417</v>
      </c>
      <c r="M213" s="15">
        <f t="shared" si="9"/>
        <v>1.7650462962963021E-2</v>
      </c>
      <c r="N213">
        <f t="shared" si="10"/>
        <v>13</v>
      </c>
    </row>
    <row r="214" spans="1:14" x14ac:dyDescent="0.3">
      <c r="A214" s="1"/>
      <c r="B214" s="1"/>
      <c r="C214" s="9" t="s">
        <v>147</v>
      </c>
      <c r="D214" s="9" t="s">
        <v>148</v>
      </c>
      <c r="E214" s="11" t="s">
        <v>19</v>
      </c>
      <c r="F214" s="2"/>
      <c r="G214" s="2"/>
      <c r="H214" s="2"/>
      <c r="I214" s="2"/>
      <c r="J214" s="7"/>
      <c r="K214" s="4"/>
      <c r="L214" s="12"/>
    </row>
    <row r="215" spans="1:14" x14ac:dyDescent="0.3">
      <c r="A215" s="1"/>
      <c r="B215" s="1"/>
      <c r="C215" s="1"/>
      <c r="D215" s="1"/>
      <c r="E215" s="9" t="s">
        <v>149</v>
      </c>
      <c r="F215" s="9" t="s">
        <v>22</v>
      </c>
      <c r="G215" s="11" t="s">
        <v>19</v>
      </c>
      <c r="H215" s="2"/>
      <c r="I215" s="2"/>
      <c r="J215" s="7"/>
      <c r="K215" s="4"/>
      <c r="L215" s="12"/>
    </row>
    <row r="216" spans="1:14" x14ac:dyDescent="0.3">
      <c r="A216" s="1"/>
      <c r="B216" s="1"/>
      <c r="C216" s="1"/>
      <c r="D216" s="1"/>
      <c r="E216" s="1"/>
      <c r="F216" s="1"/>
      <c r="G216" s="9" t="s">
        <v>150</v>
      </c>
      <c r="H216" s="9" t="s">
        <v>127</v>
      </c>
      <c r="I216" s="9" t="s">
        <v>25</v>
      </c>
      <c r="J216" s="9" t="s">
        <v>1912</v>
      </c>
      <c r="K216" s="3" t="s">
        <v>151</v>
      </c>
      <c r="L216" s="13" t="s">
        <v>152</v>
      </c>
      <c r="M216" s="15">
        <f t="shared" si="9"/>
        <v>3.1481481481481444E-2</v>
      </c>
      <c r="N216">
        <f t="shared" si="10"/>
        <v>11</v>
      </c>
    </row>
    <row r="217" spans="1:14" x14ac:dyDescent="0.3">
      <c r="A217" s="1"/>
      <c r="B217" s="1"/>
      <c r="C217" s="1"/>
      <c r="D217" s="1"/>
      <c r="E217" s="1"/>
      <c r="F217" s="1"/>
      <c r="G217" s="9" t="s">
        <v>1009</v>
      </c>
      <c r="H217" s="9" t="s">
        <v>127</v>
      </c>
      <c r="I217" s="9" t="s">
        <v>926</v>
      </c>
      <c r="J217" s="9" t="s">
        <v>1912</v>
      </c>
      <c r="K217" s="3" t="s">
        <v>1010</v>
      </c>
      <c r="L217" s="13" t="s">
        <v>1011</v>
      </c>
      <c r="M217" s="15">
        <f t="shared" si="9"/>
        <v>2.5335648148148149E-2</v>
      </c>
      <c r="N217">
        <f t="shared" si="10"/>
        <v>15</v>
      </c>
    </row>
    <row r="218" spans="1:14" x14ac:dyDescent="0.3">
      <c r="A218" s="1"/>
      <c r="B218" s="1"/>
      <c r="C218" s="1"/>
      <c r="D218" s="1"/>
      <c r="E218" s="1"/>
      <c r="F218" s="1"/>
      <c r="G218" s="9" t="s">
        <v>1418</v>
      </c>
      <c r="H218" s="9" t="s">
        <v>127</v>
      </c>
      <c r="I218" s="9" t="s">
        <v>1296</v>
      </c>
      <c r="J218" s="9" t="s">
        <v>1912</v>
      </c>
      <c r="K218" s="3" t="s">
        <v>1419</v>
      </c>
      <c r="L218" s="13" t="s">
        <v>1420</v>
      </c>
      <c r="M218" s="15">
        <f t="shared" si="9"/>
        <v>2.1412037037036979E-2</v>
      </c>
      <c r="N218">
        <f t="shared" si="10"/>
        <v>13</v>
      </c>
    </row>
    <row r="219" spans="1:14" x14ac:dyDescent="0.3">
      <c r="A219" s="1"/>
      <c r="B219" s="1"/>
      <c r="C219" s="1"/>
      <c r="D219" s="1"/>
      <c r="E219" s="1"/>
      <c r="F219" s="1"/>
      <c r="G219" s="9" t="s">
        <v>2039</v>
      </c>
      <c r="H219" s="9" t="s">
        <v>127</v>
      </c>
      <c r="I219" s="9" t="s">
        <v>1914</v>
      </c>
      <c r="J219" s="9" t="s">
        <v>1912</v>
      </c>
      <c r="K219" s="3" t="s">
        <v>2040</v>
      </c>
      <c r="L219" s="13" t="s">
        <v>2041</v>
      </c>
      <c r="M219" s="15">
        <f t="shared" si="9"/>
        <v>2.8263888888888866E-2</v>
      </c>
      <c r="N219">
        <f t="shared" si="10"/>
        <v>13</v>
      </c>
    </row>
    <row r="220" spans="1:14" x14ac:dyDescent="0.3">
      <c r="A220" s="1"/>
      <c r="B220" s="1"/>
      <c r="C220" s="1"/>
      <c r="D220" s="1"/>
      <c r="E220" s="9" t="s">
        <v>300</v>
      </c>
      <c r="F220" s="9" t="s">
        <v>22</v>
      </c>
      <c r="G220" s="11" t="s">
        <v>19</v>
      </c>
      <c r="H220" s="2"/>
      <c r="I220" s="2"/>
      <c r="J220" s="7"/>
      <c r="K220" s="4"/>
      <c r="L220" s="12"/>
    </row>
    <row r="221" spans="1:14" x14ac:dyDescent="0.3">
      <c r="A221" s="1"/>
      <c r="B221" s="1"/>
      <c r="C221" s="1"/>
      <c r="D221" s="1"/>
      <c r="E221" s="1"/>
      <c r="F221" s="1"/>
      <c r="G221" s="9" t="s">
        <v>2042</v>
      </c>
      <c r="H221" s="9" t="s">
        <v>119</v>
      </c>
      <c r="I221" s="9" t="s">
        <v>1914</v>
      </c>
      <c r="J221" s="9" t="s">
        <v>1912</v>
      </c>
      <c r="K221" s="3" t="s">
        <v>2043</v>
      </c>
      <c r="L221" s="13" t="s">
        <v>2044</v>
      </c>
      <c r="M221" s="15">
        <f t="shared" si="9"/>
        <v>1.7164351851851833E-2</v>
      </c>
      <c r="N221">
        <f t="shared" si="10"/>
        <v>9</v>
      </c>
    </row>
    <row r="222" spans="1:14" x14ac:dyDescent="0.3">
      <c r="A222" s="1"/>
      <c r="B222" s="1"/>
      <c r="C222" s="1"/>
      <c r="D222" s="1"/>
      <c r="E222" s="1"/>
      <c r="F222" s="1"/>
      <c r="G222" s="9" t="s">
        <v>2045</v>
      </c>
      <c r="H222" s="9" t="s">
        <v>119</v>
      </c>
      <c r="I222" s="9" t="s">
        <v>1914</v>
      </c>
      <c r="J222" s="9" t="s">
        <v>1912</v>
      </c>
      <c r="K222" s="3" t="s">
        <v>2046</v>
      </c>
      <c r="L222" s="13" t="s">
        <v>2047</v>
      </c>
      <c r="M222" s="15">
        <f t="shared" si="9"/>
        <v>2.5856481481481453E-2</v>
      </c>
      <c r="N222">
        <f t="shared" si="10"/>
        <v>14</v>
      </c>
    </row>
    <row r="223" spans="1:14" x14ac:dyDescent="0.3">
      <c r="A223" s="1"/>
      <c r="B223" s="1"/>
      <c r="C223" s="9" t="s">
        <v>153</v>
      </c>
      <c r="D223" s="9" t="s">
        <v>154</v>
      </c>
      <c r="E223" s="9" t="s">
        <v>154</v>
      </c>
      <c r="F223" s="9" t="s">
        <v>22</v>
      </c>
      <c r="G223" s="11" t="s">
        <v>19</v>
      </c>
      <c r="H223" s="2"/>
      <c r="I223" s="2"/>
      <c r="J223" s="7"/>
      <c r="K223" s="4"/>
      <c r="L223" s="12"/>
    </row>
    <row r="224" spans="1:14" x14ac:dyDescent="0.3">
      <c r="A224" s="1"/>
      <c r="B224" s="1"/>
      <c r="C224" s="1"/>
      <c r="D224" s="1"/>
      <c r="E224" s="1"/>
      <c r="F224" s="1"/>
      <c r="G224" s="9" t="s">
        <v>155</v>
      </c>
      <c r="H224" s="9" t="s">
        <v>119</v>
      </c>
      <c r="I224" s="9" t="s">
        <v>25</v>
      </c>
      <c r="J224" s="9" t="s">
        <v>1912</v>
      </c>
      <c r="K224" s="3" t="s">
        <v>156</v>
      </c>
      <c r="L224" s="13" t="s">
        <v>157</v>
      </c>
      <c r="M224" s="15">
        <f t="shared" si="9"/>
        <v>9.5138888888888912E-3</v>
      </c>
      <c r="N224">
        <f t="shared" si="10"/>
        <v>2</v>
      </c>
    </row>
    <row r="225" spans="1:14" x14ac:dyDescent="0.3">
      <c r="A225" s="1"/>
      <c r="B225" s="1"/>
      <c r="C225" s="1"/>
      <c r="D225" s="1"/>
      <c r="E225" s="1"/>
      <c r="F225" s="1"/>
      <c r="G225" s="9" t="s">
        <v>158</v>
      </c>
      <c r="H225" s="9" t="s">
        <v>119</v>
      </c>
      <c r="I225" s="9" t="s">
        <v>25</v>
      </c>
      <c r="J225" s="9" t="s">
        <v>1912</v>
      </c>
      <c r="K225" s="3" t="s">
        <v>159</v>
      </c>
      <c r="L225" s="13" t="s">
        <v>160</v>
      </c>
      <c r="M225" s="15">
        <f t="shared" si="9"/>
        <v>1.3425925925925924E-2</v>
      </c>
      <c r="N225">
        <f t="shared" si="10"/>
        <v>4</v>
      </c>
    </row>
    <row r="226" spans="1:14" x14ac:dyDescent="0.3">
      <c r="A226" s="1"/>
      <c r="B226" s="1"/>
      <c r="C226" s="1"/>
      <c r="D226" s="1"/>
      <c r="E226" s="1"/>
      <c r="F226" s="1"/>
      <c r="G226" s="9" t="s">
        <v>1012</v>
      </c>
      <c r="H226" s="9" t="s">
        <v>119</v>
      </c>
      <c r="I226" s="9" t="s">
        <v>926</v>
      </c>
      <c r="J226" s="9" t="s">
        <v>1912</v>
      </c>
      <c r="K226" s="3" t="s">
        <v>1013</v>
      </c>
      <c r="L226" s="13" t="s">
        <v>1014</v>
      </c>
      <c r="M226" s="15">
        <f t="shared" si="9"/>
        <v>1.190972222222221E-2</v>
      </c>
      <c r="N226">
        <f t="shared" si="10"/>
        <v>2</v>
      </c>
    </row>
    <row r="227" spans="1:14" x14ac:dyDescent="0.3">
      <c r="A227" s="1"/>
      <c r="B227" s="1"/>
      <c r="C227" s="1"/>
      <c r="D227" s="1"/>
      <c r="E227" s="1"/>
      <c r="F227" s="1"/>
      <c r="G227" s="9" t="s">
        <v>2048</v>
      </c>
      <c r="H227" s="9" t="s">
        <v>119</v>
      </c>
      <c r="I227" s="9" t="s">
        <v>1914</v>
      </c>
      <c r="J227" s="9" t="s">
        <v>1912</v>
      </c>
      <c r="K227" s="3" t="s">
        <v>2049</v>
      </c>
      <c r="L227" s="13" t="s">
        <v>2050</v>
      </c>
      <c r="M227" s="15">
        <f t="shared" si="9"/>
        <v>1.2175925925925923E-2</v>
      </c>
      <c r="N227">
        <f t="shared" si="10"/>
        <v>5</v>
      </c>
    </row>
    <row r="228" spans="1:14" x14ac:dyDescent="0.3">
      <c r="A228" s="1"/>
      <c r="B228" s="1"/>
      <c r="C228" s="9" t="s">
        <v>88</v>
      </c>
      <c r="D228" s="9" t="s">
        <v>89</v>
      </c>
      <c r="E228" s="9" t="s">
        <v>89</v>
      </c>
      <c r="F228" s="9" t="s">
        <v>22</v>
      </c>
      <c r="G228" s="11" t="s">
        <v>19</v>
      </c>
      <c r="H228" s="2"/>
      <c r="I228" s="2"/>
      <c r="J228" s="7"/>
      <c r="K228" s="4"/>
      <c r="L228" s="12"/>
    </row>
    <row r="229" spans="1:14" x14ac:dyDescent="0.3">
      <c r="A229" s="1"/>
      <c r="B229" s="1"/>
      <c r="C229" s="1"/>
      <c r="D229" s="1"/>
      <c r="E229" s="1"/>
      <c r="F229" s="1"/>
      <c r="G229" s="9" t="s">
        <v>161</v>
      </c>
      <c r="H229" s="9" t="s">
        <v>119</v>
      </c>
      <c r="I229" s="9" t="s">
        <v>25</v>
      </c>
      <c r="J229" s="9" t="s">
        <v>1912</v>
      </c>
      <c r="K229" s="3" t="s">
        <v>162</v>
      </c>
      <c r="L229" s="13" t="s">
        <v>163</v>
      </c>
      <c r="M229" s="15">
        <f t="shared" si="9"/>
        <v>1.8287037037037102E-2</v>
      </c>
      <c r="N229">
        <f t="shared" si="10"/>
        <v>7</v>
      </c>
    </row>
    <row r="230" spans="1:14" x14ac:dyDescent="0.3">
      <c r="A230" s="1"/>
      <c r="B230" s="1"/>
      <c r="C230" s="1"/>
      <c r="D230" s="1"/>
      <c r="E230" s="1"/>
      <c r="F230" s="1"/>
      <c r="G230" s="9" t="s">
        <v>568</v>
      </c>
      <c r="H230" s="9" t="s">
        <v>119</v>
      </c>
      <c r="I230" s="9" t="s">
        <v>486</v>
      </c>
      <c r="J230" s="9" t="s">
        <v>1912</v>
      </c>
      <c r="K230" s="3" t="s">
        <v>569</v>
      </c>
      <c r="L230" s="13" t="s">
        <v>570</v>
      </c>
      <c r="M230" s="15">
        <f t="shared" si="9"/>
        <v>1.6423611111111069E-2</v>
      </c>
      <c r="N230">
        <f t="shared" si="10"/>
        <v>7</v>
      </c>
    </row>
    <row r="231" spans="1:14" x14ac:dyDescent="0.3">
      <c r="A231" s="1"/>
      <c r="B231" s="1"/>
      <c r="C231" s="1"/>
      <c r="D231" s="1"/>
      <c r="E231" s="1"/>
      <c r="F231" s="1"/>
      <c r="G231" s="9" t="s">
        <v>571</v>
      </c>
      <c r="H231" s="9" t="s">
        <v>119</v>
      </c>
      <c r="I231" s="9" t="s">
        <v>486</v>
      </c>
      <c r="J231" s="9" t="s">
        <v>1912</v>
      </c>
      <c r="K231" s="3" t="s">
        <v>572</v>
      </c>
      <c r="L231" s="13" t="s">
        <v>573</v>
      </c>
      <c r="M231" s="15">
        <f t="shared" si="9"/>
        <v>5.214120370370362E-2</v>
      </c>
      <c r="N231">
        <f t="shared" si="10"/>
        <v>10</v>
      </c>
    </row>
    <row r="232" spans="1:14" x14ac:dyDescent="0.3">
      <c r="A232" s="1"/>
      <c r="B232" s="1"/>
      <c r="C232" s="1"/>
      <c r="D232" s="1"/>
      <c r="E232" s="1"/>
      <c r="F232" s="1"/>
      <c r="G232" s="9" t="s">
        <v>574</v>
      </c>
      <c r="H232" s="9" t="s">
        <v>119</v>
      </c>
      <c r="I232" s="9" t="s">
        <v>486</v>
      </c>
      <c r="J232" s="9" t="s">
        <v>1912</v>
      </c>
      <c r="K232" s="3" t="s">
        <v>575</v>
      </c>
      <c r="L232" s="13" t="s">
        <v>576</v>
      </c>
      <c r="M232" s="15">
        <f t="shared" si="9"/>
        <v>2.5543981481481515E-2</v>
      </c>
      <c r="N232">
        <f t="shared" si="10"/>
        <v>15</v>
      </c>
    </row>
    <row r="233" spans="1:14" x14ac:dyDescent="0.3">
      <c r="A233" s="1"/>
      <c r="B233" s="1"/>
      <c r="C233" s="9" t="s">
        <v>322</v>
      </c>
      <c r="D233" s="9" t="s">
        <v>323</v>
      </c>
      <c r="E233" s="11" t="s">
        <v>19</v>
      </c>
      <c r="F233" s="2"/>
      <c r="G233" s="2"/>
      <c r="H233" s="2"/>
      <c r="I233" s="2"/>
      <c r="J233" s="7"/>
      <c r="K233" s="4"/>
      <c r="L233" s="12"/>
    </row>
    <row r="234" spans="1:14" x14ac:dyDescent="0.3">
      <c r="A234" s="1"/>
      <c r="B234" s="1"/>
      <c r="C234" s="1"/>
      <c r="D234" s="1"/>
      <c r="E234" s="9" t="s">
        <v>1015</v>
      </c>
      <c r="F234" s="9" t="s">
        <v>22</v>
      </c>
      <c r="G234" s="11" t="s">
        <v>19</v>
      </c>
      <c r="H234" s="2"/>
      <c r="I234" s="2"/>
      <c r="J234" s="7"/>
      <c r="K234" s="4"/>
      <c r="L234" s="12"/>
    </row>
    <row r="235" spans="1:14" x14ac:dyDescent="0.3">
      <c r="A235" s="1"/>
      <c r="B235" s="1"/>
      <c r="C235" s="1"/>
      <c r="D235" s="1"/>
      <c r="E235" s="1"/>
      <c r="F235" s="1"/>
      <c r="G235" s="9" t="s">
        <v>1016</v>
      </c>
      <c r="H235" s="9" t="s">
        <v>127</v>
      </c>
      <c r="I235" s="9" t="s">
        <v>926</v>
      </c>
      <c r="J235" s="9" t="s">
        <v>1912</v>
      </c>
      <c r="K235" s="3" t="s">
        <v>1017</v>
      </c>
      <c r="L235" s="13" t="s">
        <v>1018</v>
      </c>
      <c r="M235" s="15">
        <f t="shared" si="9"/>
        <v>3.0092592592592615E-2</v>
      </c>
      <c r="N235">
        <f t="shared" si="10"/>
        <v>7</v>
      </c>
    </row>
    <row r="236" spans="1:14" x14ac:dyDescent="0.3">
      <c r="A236" s="1"/>
      <c r="B236" s="1"/>
      <c r="C236" s="1"/>
      <c r="D236" s="1"/>
      <c r="E236" s="1"/>
      <c r="F236" s="1"/>
      <c r="G236" s="9" t="s">
        <v>1421</v>
      </c>
      <c r="H236" s="9" t="s">
        <v>127</v>
      </c>
      <c r="I236" s="9" t="s">
        <v>1296</v>
      </c>
      <c r="J236" s="9" t="s">
        <v>1912</v>
      </c>
      <c r="K236" s="3" t="s">
        <v>1422</v>
      </c>
      <c r="L236" s="13" t="s">
        <v>1423</v>
      </c>
      <c r="M236" s="15">
        <f t="shared" si="9"/>
        <v>2.1712962962962989E-2</v>
      </c>
      <c r="N236">
        <f t="shared" si="10"/>
        <v>7</v>
      </c>
    </row>
    <row r="237" spans="1:14" x14ac:dyDescent="0.3">
      <c r="A237" s="1"/>
      <c r="B237" s="1"/>
      <c r="C237" s="1"/>
      <c r="D237" s="1"/>
      <c r="E237" s="1"/>
      <c r="F237" s="1"/>
      <c r="G237" s="9" t="s">
        <v>1424</v>
      </c>
      <c r="H237" s="9" t="s">
        <v>127</v>
      </c>
      <c r="I237" s="9" t="s">
        <v>1296</v>
      </c>
      <c r="J237" s="9" t="s">
        <v>1912</v>
      </c>
      <c r="K237" s="3" t="s">
        <v>1425</v>
      </c>
      <c r="L237" s="13" t="s">
        <v>1426</v>
      </c>
      <c r="M237" s="15">
        <f t="shared" si="9"/>
        <v>3.0196759259259354E-2</v>
      </c>
      <c r="N237">
        <f t="shared" si="10"/>
        <v>17</v>
      </c>
    </row>
    <row r="238" spans="1:14" x14ac:dyDescent="0.3">
      <c r="A238" s="1"/>
      <c r="B238" s="1"/>
      <c r="C238" s="1"/>
      <c r="D238" s="1"/>
      <c r="E238" s="1"/>
      <c r="F238" s="1"/>
      <c r="G238" s="9" t="s">
        <v>2051</v>
      </c>
      <c r="H238" s="9" t="s">
        <v>127</v>
      </c>
      <c r="I238" s="9" t="s">
        <v>1914</v>
      </c>
      <c r="J238" s="9" t="s">
        <v>1912</v>
      </c>
      <c r="K238" s="3" t="s">
        <v>2052</v>
      </c>
      <c r="L238" s="13" t="s">
        <v>2053</v>
      </c>
      <c r="M238" s="15">
        <f t="shared" si="9"/>
        <v>3.1331018518518494E-2</v>
      </c>
      <c r="N238">
        <f t="shared" si="10"/>
        <v>17</v>
      </c>
    </row>
    <row r="239" spans="1:14" x14ac:dyDescent="0.3">
      <c r="A239" s="1"/>
      <c r="B239" s="1"/>
      <c r="C239" s="1"/>
      <c r="D239" s="1"/>
      <c r="E239" s="9" t="s">
        <v>323</v>
      </c>
      <c r="F239" s="9" t="s">
        <v>22</v>
      </c>
      <c r="G239" s="9" t="s">
        <v>1019</v>
      </c>
      <c r="H239" s="9" t="s">
        <v>119</v>
      </c>
      <c r="I239" s="9" t="s">
        <v>926</v>
      </c>
      <c r="J239" s="9" t="s">
        <v>1912</v>
      </c>
      <c r="K239" s="3" t="s">
        <v>1020</v>
      </c>
      <c r="L239" s="13" t="s">
        <v>1021</v>
      </c>
      <c r="M239" s="15">
        <f t="shared" si="9"/>
        <v>3.1851851851851909E-2</v>
      </c>
      <c r="N239">
        <f t="shared" si="10"/>
        <v>13</v>
      </c>
    </row>
    <row r="240" spans="1:14" x14ac:dyDescent="0.3">
      <c r="A240" s="1"/>
      <c r="B240" s="1"/>
      <c r="C240" s="9" t="s">
        <v>93</v>
      </c>
      <c r="D240" s="9" t="s">
        <v>94</v>
      </c>
      <c r="E240" s="11" t="s">
        <v>19</v>
      </c>
      <c r="F240" s="2"/>
      <c r="G240" s="2"/>
      <c r="H240" s="2"/>
      <c r="I240" s="2"/>
      <c r="J240" s="7"/>
      <c r="K240" s="4"/>
      <c r="L240" s="12"/>
    </row>
    <row r="241" spans="1:14" x14ac:dyDescent="0.3">
      <c r="A241" s="1"/>
      <c r="B241" s="1"/>
      <c r="C241" s="1"/>
      <c r="D241" s="1"/>
      <c r="E241" s="9" t="s">
        <v>94</v>
      </c>
      <c r="F241" s="9" t="s">
        <v>22</v>
      </c>
      <c r="G241" s="11" t="s">
        <v>19</v>
      </c>
      <c r="H241" s="2"/>
      <c r="I241" s="2"/>
      <c r="J241" s="7"/>
      <c r="K241" s="4"/>
      <c r="L241" s="12"/>
    </row>
    <row r="242" spans="1:14" x14ac:dyDescent="0.3">
      <c r="A242" s="1"/>
      <c r="B242" s="1"/>
      <c r="C242" s="1"/>
      <c r="D242" s="1"/>
      <c r="E242" s="1"/>
      <c r="F242" s="1"/>
      <c r="G242" s="9" t="s">
        <v>577</v>
      </c>
      <c r="H242" s="9" t="s">
        <v>119</v>
      </c>
      <c r="I242" s="9" t="s">
        <v>486</v>
      </c>
      <c r="J242" s="9" t="s">
        <v>1912</v>
      </c>
      <c r="K242" s="3" t="s">
        <v>578</v>
      </c>
      <c r="L242" s="13" t="s">
        <v>579</v>
      </c>
      <c r="M242" s="15">
        <f t="shared" si="9"/>
        <v>1.4039351851851845E-2</v>
      </c>
      <c r="N242">
        <f t="shared" si="10"/>
        <v>4</v>
      </c>
    </row>
    <row r="243" spans="1:14" x14ac:dyDescent="0.3">
      <c r="A243" s="1"/>
      <c r="B243" s="1"/>
      <c r="C243" s="1"/>
      <c r="D243" s="1"/>
      <c r="E243" s="1"/>
      <c r="F243" s="1"/>
      <c r="G243" s="9" t="s">
        <v>580</v>
      </c>
      <c r="H243" s="9" t="s">
        <v>119</v>
      </c>
      <c r="I243" s="9" t="s">
        <v>486</v>
      </c>
      <c r="J243" s="9" t="s">
        <v>1912</v>
      </c>
      <c r="K243" s="3" t="s">
        <v>581</v>
      </c>
      <c r="L243" s="13" t="s">
        <v>582</v>
      </c>
      <c r="M243" s="15">
        <f t="shared" si="9"/>
        <v>2.7083333333333348E-2</v>
      </c>
      <c r="N243">
        <f t="shared" si="10"/>
        <v>7</v>
      </c>
    </row>
    <row r="244" spans="1:14" x14ac:dyDescent="0.3">
      <c r="A244" s="1"/>
      <c r="B244" s="1"/>
      <c r="C244" s="1"/>
      <c r="D244" s="1"/>
      <c r="E244" s="1"/>
      <c r="F244" s="1"/>
      <c r="G244" s="9" t="s">
        <v>583</v>
      </c>
      <c r="H244" s="9" t="s">
        <v>119</v>
      </c>
      <c r="I244" s="9" t="s">
        <v>486</v>
      </c>
      <c r="J244" s="9" t="s">
        <v>1912</v>
      </c>
      <c r="K244" s="3" t="s">
        <v>584</v>
      </c>
      <c r="L244" s="13" t="s">
        <v>585</v>
      </c>
      <c r="M244" s="15">
        <f t="shared" si="9"/>
        <v>3.7280092592592518E-2</v>
      </c>
      <c r="N244">
        <f t="shared" si="10"/>
        <v>11</v>
      </c>
    </row>
    <row r="245" spans="1:14" x14ac:dyDescent="0.3">
      <c r="A245" s="1"/>
      <c r="B245" s="1"/>
      <c r="C245" s="1"/>
      <c r="D245" s="1"/>
      <c r="E245" s="1"/>
      <c r="F245" s="1"/>
      <c r="G245" s="9" t="s">
        <v>586</v>
      </c>
      <c r="H245" s="9" t="s">
        <v>119</v>
      </c>
      <c r="I245" s="9" t="s">
        <v>486</v>
      </c>
      <c r="J245" s="9" t="s">
        <v>1912</v>
      </c>
      <c r="K245" s="3" t="s">
        <v>587</v>
      </c>
      <c r="L245" s="13" t="s">
        <v>588</v>
      </c>
      <c r="M245" s="15">
        <f t="shared" si="9"/>
        <v>1.6006944444444393E-2</v>
      </c>
      <c r="N245">
        <f t="shared" si="10"/>
        <v>12</v>
      </c>
    </row>
    <row r="246" spans="1:14" x14ac:dyDescent="0.3">
      <c r="A246" s="1"/>
      <c r="B246" s="1"/>
      <c r="C246" s="1"/>
      <c r="D246" s="1"/>
      <c r="E246" s="1"/>
      <c r="F246" s="1"/>
      <c r="G246" s="9" t="s">
        <v>1427</v>
      </c>
      <c r="H246" s="9" t="s">
        <v>119</v>
      </c>
      <c r="I246" s="9" t="s">
        <v>1296</v>
      </c>
      <c r="J246" s="9" t="s">
        <v>1912</v>
      </c>
      <c r="K246" s="3" t="s">
        <v>1428</v>
      </c>
      <c r="L246" s="13" t="s">
        <v>1429</v>
      </c>
      <c r="M246" s="15">
        <f t="shared" si="9"/>
        <v>1.5023148148148147E-2</v>
      </c>
      <c r="N246">
        <f t="shared" si="10"/>
        <v>6</v>
      </c>
    </row>
    <row r="247" spans="1:14" x14ac:dyDescent="0.3">
      <c r="A247" s="1"/>
      <c r="B247" s="1"/>
      <c r="C247" s="1"/>
      <c r="D247" s="1"/>
      <c r="E247" s="1"/>
      <c r="F247" s="1"/>
      <c r="G247" s="9" t="s">
        <v>1430</v>
      </c>
      <c r="H247" s="9" t="s">
        <v>119</v>
      </c>
      <c r="I247" s="9" t="s">
        <v>1296</v>
      </c>
      <c r="J247" s="9" t="s">
        <v>1912</v>
      </c>
      <c r="K247" s="3" t="s">
        <v>1431</v>
      </c>
      <c r="L247" s="13" t="s">
        <v>1432</v>
      </c>
      <c r="M247" s="15">
        <f t="shared" si="9"/>
        <v>1.7048611111111112E-2</v>
      </c>
      <c r="N247">
        <f t="shared" si="10"/>
        <v>5</v>
      </c>
    </row>
    <row r="248" spans="1:14" x14ac:dyDescent="0.3">
      <c r="A248" s="1"/>
      <c r="B248" s="1"/>
      <c r="C248" s="1"/>
      <c r="D248" s="1"/>
      <c r="E248" s="1"/>
      <c r="F248" s="1"/>
      <c r="G248" s="9" t="s">
        <v>1433</v>
      </c>
      <c r="H248" s="9" t="s">
        <v>119</v>
      </c>
      <c r="I248" s="9" t="s">
        <v>1296</v>
      </c>
      <c r="J248" s="9" t="s">
        <v>1912</v>
      </c>
      <c r="K248" s="3" t="s">
        <v>1434</v>
      </c>
      <c r="L248" s="13" t="s">
        <v>1435</v>
      </c>
      <c r="M248" s="15">
        <f t="shared" si="9"/>
        <v>2.0543981481481455E-2</v>
      </c>
      <c r="N248">
        <f t="shared" si="10"/>
        <v>10</v>
      </c>
    </row>
    <row r="249" spans="1:14" x14ac:dyDescent="0.3">
      <c r="A249" s="1"/>
      <c r="B249" s="1"/>
      <c r="C249" s="1"/>
      <c r="D249" s="1"/>
      <c r="E249" s="1"/>
      <c r="F249" s="1"/>
      <c r="G249" s="9" t="s">
        <v>2054</v>
      </c>
      <c r="H249" s="9" t="s">
        <v>119</v>
      </c>
      <c r="I249" s="9" t="s">
        <v>1914</v>
      </c>
      <c r="J249" s="9" t="s">
        <v>1912</v>
      </c>
      <c r="K249" s="3" t="s">
        <v>2055</v>
      </c>
      <c r="L249" s="13" t="s">
        <v>2056</v>
      </c>
      <c r="M249" s="15">
        <f t="shared" si="9"/>
        <v>1.366898148148149E-2</v>
      </c>
      <c r="N249">
        <f t="shared" si="10"/>
        <v>6</v>
      </c>
    </row>
    <row r="250" spans="1:14" x14ac:dyDescent="0.3">
      <c r="A250" s="1"/>
      <c r="B250" s="1"/>
      <c r="C250" s="1"/>
      <c r="D250" s="1"/>
      <c r="E250" s="1"/>
      <c r="F250" s="1"/>
      <c r="G250" s="9" t="s">
        <v>2057</v>
      </c>
      <c r="H250" s="9" t="s">
        <v>119</v>
      </c>
      <c r="I250" s="9" t="s">
        <v>1914</v>
      </c>
      <c r="J250" s="9" t="s">
        <v>1912</v>
      </c>
      <c r="K250" s="3" t="s">
        <v>2058</v>
      </c>
      <c r="L250" s="13" t="s">
        <v>2059</v>
      </c>
      <c r="M250" s="15">
        <f t="shared" si="9"/>
        <v>1.3564814814814863E-2</v>
      </c>
      <c r="N250">
        <f t="shared" si="10"/>
        <v>7</v>
      </c>
    </row>
    <row r="251" spans="1:14" x14ac:dyDescent="0.3">
      <c r="A251" s="1"/>
      <c r="B251" s="1"/>
      <c r="C251" s="1"/>
      <c r="D251" s="1"/>
      <c r="E251" s="1"/>
      <c r="F251" s="1"/>
      <c r="G251" s="9" t="s">
        <v>2060</v>
      </c>
      <c r="H251" s="9" t="s">
        <v>119</v>
      </c>
      <c r="I251" s="9" t="s">
        <v>1914</v>
      </c>
      <c r="J251" s="9" t="s">
        <v>1912</v>
      </c>
      <c r="K251" s="3" t="s">
        <v>2061</v>
      </c>
      <c r="L251" s="13" t="s">
        <v>2062</v>
      </c>
      <c r="M251" s="15">
        <f t="shared" si="9"/>
        <v>1.6701388888888891E-2</v>
      </c>
      <c r="N251">
        <f t="shared" si="10"/>
        <v>10</v>
      </c>
    </row>
    <row r="252" spans="1:14" x14ac:dyDescent="0.3">
      <c r="A252" s="1"/>
      <c r="B252" s="1"/>
      <c r="C252" s="1"/>
      <c r="D252" s="1"/>
      <c r="E252" s="1"/>
      <c r="F252" s="1"/>
      <c r="G252" s="9" t="s">
        <v>2063</v>
      </c>
      <c r="H252" s="9" t="s">
        <v>119</v>
      </c>
      <c r="I252" s="9" t="s">
        <v>1914</v>
      </c>
      <c r="J252" s="9" t="s">
        <v>1912</v>
      </c>
      <c r="K252" s="3" t="s">
        <v>2064</v>
      </c>
      <c r="L252" s="13" t="s">
        <v>2065</v>
      </c>
      <c r="M252" s="15">
        <f t="shared" si="9"/>
        <v>3.5972222222222294E-2</v>
      </c>
      <c r="N252">
        <f t="shared" si="10"/>
        <v>13</v>
      </c>
    </row>
    <row r="253" spans="1:14" x14ac:dyDescent="0.3">
      <c r="A253" s="1"/>
      <c r="B253" s="1"/>
      <c r="C253" s="1"/>
      <c r="D253" s="1"/>
      <c r="E253" s="1"/>
      <c r="F253" s="1"/>
      <c r="G253" s="9" t="s">
        <v>2066</v>
      </c>
      <c r="H253" s="9" t="s">
        <v>119</v>
      </c>
      <c r="I253" s="9" t="s">
        <v>1941</v>
      </c>
      <c r="J253" s="9" t="s">
        <v>1912</v>
      </c>
      <c r="K253" s="3" t="s">
        <v>2067</v>
      </c>
      <c r="L253" s="13" t="s">
        <v>2068</v>
      </c>
      <c r="M253" s="15">
        <f t="shared" si="9"/>
        <v>1.5277777777777612E-2</v>
      </c>
      <c r="N253">
        <f t="shared" si="10"/>
        <v>21</v>
      </c>
    </row>
    <row r="254" spans="1:14" x14ac:dyDescent="0.3">
      <c r="A254" s="1"/>
      <c r="B254" s="1"/>
      <c r="C254" s="1"/>
      <c r="D254" s="1"/>
      <c r="E254" s="9" t="s">
        <v>164</v>
      </c>
      <c r="F254" s="9" t="s">
        <v>22</v>
      </c>
      <c r="G254" s="11" t="s">
        <v>19</v>
      </c>
      <c r="H254" s="2"/>
      <c r="I254" s="2"/>
      <c r="J254" s="7"/>
      <c r="K254" s="4"/>
      <c r="L254" s="12"/>
    </row>
    <row r="255" spans="1:14" x14ac:dyDescent="0.3">
      <c r="A255" s="1"/>
      <c r="B255" s="1"/>
      <c r="C255" s="1"/>
      <c r="D255" s="1"/>
      <c r="E255" s="1"/>
      <c r="F255" s="1"/>
      <c r="G255" s="9" t="s">
        <v>165</v>
      </c>
      <c r="H255" s="9" t="s">
        <v>119</v>
      </c>
      <c r="I255" s="9" t="s">
        <v>25</v>
      </c>
      <c r="J255" s="9" t="s">
        <v>1912</v>
      </c>
      <c r="K255" s="3" t="s">
        <v>166</v>
      </c>
      <c r="L255" s="13" t="s">
        <v>167</v>
      </c>
      <c r="M255" s="15">
        <f t="shared" si="9"/>
        <v>1.4768518518518459E-2</v>
      </c>
      <c r="N255">
        <f t="shared" si="10"/>
        <v>6</v>
      </c>
    </row>
    <row r="256" spans="1:14" x14ac:dyDescent="0.3">
      <c r="A256" s="1"/>
      <c r="B256" s="1"/>
      <c r="C256" s="1"/>
      <c r="D256" s="1"/>
      <c r="E256" s="1"/>
      <c r="F256" s="1"/>
      <c r="G256" s="9" t="s">
        <v>168</v>
      </c>
      <c r="H256" s="9" t="s">
        <v>119</v>
      </c>
      <c r="I256" s="9" t="s">
        <v>25</v>
      </c>
      <c r="J256" s="9" t="s">
        <v>1912</v>
      </c>
      <c r="K256" s="3" t="s">
        <v>169</v>
      </c>
      <c r="L256" s="13" t="s">
        <v>170</v>
      </c>
      <c r="M256" s="15">
        <f t="shared" si="9"/>
        <v>3.601851851851845E-2</v>
      </c>
      <c r="N256">
        <f t="shared" si="10"/>
        <v>14</v>
      </c>
    </row>
    <row r="257" spans="1:14" x14ac:dyDescent="0.3">
      <c r="A257" s="1"/>
      <c r="B257" s="1"/>
      <c r="C257" s="1"/>
      <c r="D257" s="1"/>
      <c r="E257" s="1"/>
      <c r="F257" s="1"/>
      <c r="G257" s="9" t="s">
        <v>171</v>
      </c>
      <c r="H257" s="9" t="s">
        <v>119</v>
      </c>
      <c r="I257" s="9" t="s">
        <v>25</v>
      </c>
      <c r="J257" s="9" t="s">
        <v>1912</v>
      </c>
      <c r="K257" s="3" t="s">
        <v>172</v>
      </c>
      <c r="L257" s="13" t="s">
        <v>173</v>
      </c>
      <c r="M257" s="15">
        <f t="shared" si="9"/>
        <v>1.288194444444446E-2</v>
      </c>
      <c r="N257">
        <f t="shared" si="10"/>
        <v>17</v>
      </c>
    </row>
    <row r="258" spans="1:14" x14ac:dyDescent="0.3">
      <c r="A258" s="1"/>
      <c r="B258" s="1"/>
      <c r="C258" s="1"/>
      <c r="D258" s="1"/>
      <c r="E258" s="1"/>
      <c r="F258" s="1"/>
      <c r="G258" s="9" t="s">
        <v>174</v>
      </c>
      <c r="H258" s="9" t="s">
        <v>119</v>
      </c>
      <c r="I258" s="9" t="s">
        <v>25</v>
      </c>
      <c r="J258" s="9" t="s">
        <v>1912</v>
      </c>
      <c r="K258" s="3" t="s">
        <v>175</v>
      </c>
      <c r="L258" s="13" t="s">
        <v>176</v>
      </c>
      <c r="M258" s="15">
        <f t="shared" si="9"/>
        <v>1.475694444444442E-2</v>
      </c>
      <c r="N258">
        <f t="shared" si="10"/>
        <v>20</v>
      </c>
    </row>
    <row r="259" spans="1:14" x14ac:dyDescent="0.3">
      <c r="A259" s="1"/>
      <c r="B259" s="1"/>
      <c r="C259" s="1"/>
      <c r="D259" s="1"/>
      <c r="E259" s="1"/>
      <c r="F259" s="1"/>
      <c r="G259" s="9" t="s">
        <v>589</v>
      </c>
      <c r="H259" s="9" t="s">
        <v>119</v>
      </c>
      <c r="I259" s="9" t="s">
        <v>486</v>
      </c>
      <c r="J259" s="9" t="s">
        <v>1912</v>
      </c>
      <c r="K259" s="3" t="s">
        <v>590</v>
      </c>
      <c r="L259" s="13" t="s">
        <v>591</v>
      </c>
      <c r="M259" s="15">
        <f t="shared" ref="M259:M322" si="11">L259-K259</f>
        <v>3.226851851851853E-2</v>
      </c>
      <c r="N259">
        <f t="shared" ref="N259:N322" si="12">HOUR(K259)</f>
        <v>6</v>
      </c>
    </row>
    <row r="260" spans="1:14" x14ac:dyDescent="0.3">
      <c r="A260" s="1"/>
      <c r="B260" s="1"/>
      <c r="C260" s="1"/>
      <c r="D260" s="1"/>
      <c r="E260" s="1"/>
      <c r="F260" s="1"/>
      <c r="G260" s="9" t="s">
        <v>592</v>
      </c>
      <c r="H260" s="9" t="s">
        <v>119</v>
      </c>
      <c r="I260" s="9" t="s">
        <v>486</v>
      </c>
      <c r="J260" s="9" t="s">
        <v>1912</v>
      </c>
      <c r="K260" s="3" t="s">
        <v>593</v>
      </c>
      <c r="L260" s="13" t="s">
        <v>594</v>
      </c>
      <c r="M260" s="15">
        <f t="shared" si="11"/>
        <v>4.4513888888888908E-2</v>
      </c>
      <c r="N260">
        <f t="shared" si="12"/>
        <v>10</v>
      </c>
    </row>
    <row r="261" spans="1:14" x14ac:dyDescent="0.3">
      <c r="A261" s="1"/>
      <c r="B261" s="1"/>
      <c r="C261" s="1"/>
      <c r="D261" s="1"/>
      <c r="E261" s="1"/>
      <c r="F261" s="1"/>
      <c r="G261" s="9" t="s">
        <v>595</v>
      </c>
      <c r="H261" s="9" t="s">
        <v>119</v>
      </c>
      <c r="I261" s="9" t="s">
        <v>486</v>
      </c>
      <c r="J261" s="9" t="s">
        <v>1912</v>
      </c>
      <c r="K261" s="3" t="s">
        <v>596</v>
      </c>
      <c r="L261" s="13" t="s">
        <v>597</v>
      </c>
      <c r="M261" s="15">
        <f t="shared" si="11"/>
        <v>1.2060185185185257E-2</v>
      </c>
      <c r="N261">
        <f t="shared" si="12"/>
        <v>22</v>
      </c>
    </row>
    <row r="262" spans="1:14" x14ac:dyDescent="0.3">
      <c r="A262" s="1"/>
      <c r="B262" s="1"/>
      <c r="C262" s="1"/>
      <c r="D262" s="1"/>
      <c r="E262" s="1"/>
      <c r="F262" s="1"/>
      <c r="G262" s="9" t="s">
        <v>598</v>
      </c>
      <c r="H262" s="9" t="s">
        <v>119</v>
      </c>
      <c r="I262" s="9" t="s">
        <v>486</v>
      </c>
      <c r="J262" s="9" t="s">
        <v>1912</v>
      </c>
      <c r="K262" s="3" t="s">
        <v>599</v>
      </c>
      <c r="L262" s="13" t="s">
        <v>600</v>
      </c>
      <c r="M262" s="15">
        <f t="shared" si="11"/>
        <v>2.5173611111111049E-2</v>
      </c>
      <c r="N262">
        <f t="shared" si="12"/>
        <v>16</v>
      </c>
    </row>
    <row r="263" spans="1:14" x14ac:dyDescent="0.3">
      <c r="A263" s="1"/>
      <c r="B263" s="1"/>
      <c r="C263" s="1"/>
      <c r="D263" s="1"/>
      <c r="E263" s="1"/>
      <c r="F263" s="1"/>
      <c r="G263" s="9" t="s">
        <v>1022</v>
      </c>
      <c r="H263" s="9" t="s">
        <v>119</v>
      </c>
      <c r="I263" s="9" t="s">
        <v>926</v>
      </c>
      <c r="J263" s="9" t="s">
        <v>1912</v>
      </c>
      <c r="K263" s="3" t="s">
        <v>1023</v>
      </c>
      <c r="L263" s="13" t="s">
        <v>1024</v>
      </c>
      <c r="M263" s="15">
        <f t="shared" si="11"/>
        <v>2.2627314814814836E-2</v>
      </c>
      <c r="N263">
        <f t="shared" si="12"/>
        <v>6</v>
      </c>
    </row>
    <row r="264" spans="1:14" x14ac:dyDescent="0.3">
      <c r="A264" s="1"/>
      <c r="B264" s="1"/>
      <c r="C264" s="1"/>
      <c r="D264" s="1"/>
      <c r="E264" s="1"/>
      <c r="F264" s="1"/>
      <c r="G264" s="9" t="s">
        <v>1025</v>
      </c>
      <c r="H264" s="9" t="s">
        <v>119</v>
      </c>
      <c r="I264" s="9" t="s">
        <v>926</v>
      </c>
      <c r="J264" s="9" t="s">
        <v>1912</v>
      </c>
      <c r="K264" s="3" t="s">
        <v>1026</v>
      </c>
      <c r="L264" s="13" t="s">
        <v>1027</v>
      </c>
      <c r="M264" s="15">
        <f t="shared" si="11"/>
        <v>3.0694444444444469E-2</v>
      </c>
      <c r="N264">
        <f t="shared" si="12"/>
        <v>13</v>
      </c>
    </row>
    <row r="265" spans="1:14" x14ac:dyDescent="0.3">
      <c r="A265" s="1"/>
      <c r="B265" s="1"/>
      <c r="C265" s="1"/>
      <c r="D265" s="1"/>
      <c r="E265" s="1"/>
      <c r="F265" s="1"/>
      <c r="G265" s="9" t="s">
        <v>1028</v>
      </c>
      <c r="H265" s="9" t="s">
        <v>119</v>
      </c>
      <c r="I265" s="9" t="s">
        <v>926</v>
      </c>
      <c r="J265" s="9" t="s">
        <v>1912</v>
      </c>
      <c r="K265" s="3" t="s">
        <v>1029</v>
      </c>
      <c r="L265" s="13" t="s">
        <v>1030</v>
      </c>
      <c r="M265" s="15">
        <f t="shared" si="11"/>
        <v>1.8136574074074097E-2</v>
      </c>
      <c r="N265">
        <f t="shared" si="12"/>
        <v>21</v>
      </c>
    </row>
    <row r="266" spans="1:14" x14ac:dyDescent="0.3">
      <c r="A266" s="1"/>
      <c r="B266" s="1"/>
      <c r="C266" s="1"/>
      <c r="D266" s="1"/>
      <c r="E266" s="1"/>
      <c r="F266" s="1"/>
      <c r="G266" s="9" t="s">
        <v>1436</v>
      </c>
      <c r="H266" s="9" t="s">
        <v>119</v>
      </c>
      <c r="I266" s="9" t="s">
        <v>1296</v>
      </c>
      <c r="J266" s="9" t="s">
        <v>1912</v>
      </c>
      <c r="K266" s="3" t="s">
        <v>1437</v>
      </c>
      <c r="L266" s="13" t="s">
        <v>1438</v>
      </c>
      <c r="M266" s="15">
        <f t="shared" si="11"/>
        <v>2.1851851851851789E-2</v>
      </c>
      <c r="N266">
        <f t="shared" si="12"/>
        <v>17</v>
      </c>
    </row>
    <row r="267" spans="1:14" x14ac:dyDescent="0.3">
      <c r="A267" s="1"/>
      <c r="B267" s="1"/>
      <c r="C267" s="1"/>
      <c r="D267" s="1"/>
      <c r="E267" s="1"/>
      <c r="F267" s="1"/>
      <c r="G267" s="9" t="s">
        <v>1439</v>
      </c>
      <c r="H267" s="9" t="s">
        <v>119</v>
      </c>
      <c r="I267" s="9" t="s">
        <v>1296</v>
      </c>
      <c r="J267" s="9" t="s">
        <v>1912</v>
      </c>
      <c r="K267" s="3" t="s">
        <v>1440</v>
      </c>
      <c r="L267" s="13" t="s">
        <v>1441</v>
      </c>
      <c r="M267" s="15">
        <f t="shared" si="11"/>
        <v>1.4687499999999964E-2</v>
      </c>
      <c r="N267">
        <f t="shared" si="12"/>
        <v>21</v>
      </c>
    </row>
    <row r="268" spans="1:14" x14ac:dyDescent="0.3">
      <c r="A268" s="1"/>
      <c r="B268" s="1"/>
      <c r="C268" s="1"/>
      <c r="D268" s="1"/>
      <c r="E268" s="1"/>
      <c r="F268" s="1"/>
      <c r="G268" s="9" t="s">
        <v>2069</v>
      </c>
      <c r="H268" s="9" t="s">
        <v>119</v>
      </c>
      <c r="I268" s="9" t="s">
        <v>1914</v>
      </c>
      <c r="J268" s="9" t="s">
        <v>1912</v>
      </c>
      <c r="K268" s="3" t="s">
        <v>2070</v>
      </c>
      <c r="L268" s="13" t="s">
        <v>2071</v>
      </c>
      <c r="M268" s="15">
        <f t="shared" si="11"/>
        <v>1.7500000000000016E-2</v>
      </c>
      <c r="N268">
        <f t="shared" si="12"/>
        <v>11</v>
      </c>
    </row>
    <row r="269" spans="1:14" x14ac:dyDescent="0.3">
      <c r="A269" s="1"/>
      <c r="B269" s="1"/>
      <c r="C269" s="1"/>
      <c r="D269" s="1"/>
      <c r="E269" s="1"/>
      <c r="F269" s="1"/>
      <c r="G269" s="9" t="s">
        <v>2072</v>
      </c>
      <c r="H269" s="9" t="s">
        <v>119</v>
      </c>
      <c r="I269" s="9" t="s">
        <v>1914</v>
      </c>
      <c r="J269" s="9" t="s">
        <v>1912</v>
      </c>
      <c r="K269" s="3" t="s">
        <v>2073</v>
      </c>
      <c r="L269" s="13" t="s">
        <v>2074</v>
      </c>
      <c r="M269" s="15">
        <f t="shared" si="11"/>
        <v>1.7233796296296289E-2</v>
      </c>
      <c r="N269">
        <f t="shared" si="12"/>
        <v>11</v>
      </c>
    </row>
    <row r="270" spans="1:14" x14ac:dyDescent="0.3">
      <c r="A270" s="1"/>
      <c r="B270" s="1"/>
      <c r="C270" s="1"/>
      <c r="D270" s="1"/>
      <c r="E270" s="1"/>
      <c r="F270" s="1"/>
      <c r="G270" s="9" t="s">
        <v>2075</v>
      </c>
      <c r="H270" s="9" t="s">
        <v>119</v>
      </c>
      <c r="I270" s="9" t="s">
        <v>1914</v>
      </c>
      <c r="J270" s="9" t="s">
        <v>1912</v>
      </c>
      <c r="K270" s="3" t="s">
        <v>2076</v>
      </c>
      <c r="L270" s="13" t="s">
        <v>2077</v>
      </c>
      <c r="M270" s="15">
        <f t="shared" si="11"/>
        <v>1.5509259259259278E-2</v>
      </c>
      <c r="N270">
        <f t="shared" si="12"/>
        <v>11</v>
      </c>
    </row>
    <row r="271" spans="1:14" x14ac:dyDescent="0.3">
      <c r="A271" s="1"/>
      <c r="B271" s="1"/>
      <c r="C271" s="1"/>
      <c r="D271" s="1"/>
      <c r="E271" s="1"/>
      <c r="F271" s="1"/>
      <c r="G271" s="9" t="s">
        <v>2078</v>
      </c>
      <c r="H271" s="9" t="s">
        <v>119</v>
      </c>
      <c r="I271" s="9" t="s">
        <v>1914</v>
      </c>
      <c r="J271" s="9" t="s">
        <v>1912</v>
      </c>
      <c r="K271" s="3" t="s">
        <v>2079</v>
      </c>
      <c r="L271" s="13" t="s">
        <v>972</v>
      </c>
      <c r="M271" s="15">
        <f t="shared" si="11"/>
        <v>2.806712962962965E-2</v>
      </c>
      <c r="N271">
        <f t="shared" si="12"/>
        <v>16</v>
      </c>
    </row>
    <row r="272" spans="1:14" x14ac:dyDescent="0.3">
      <c r="A272" s="1"/>
      <c r="B272" s="1"/>
      <c r="C272" s="1"/>
      <c r="D272" s="1"/>
      <c r="E272" s="1"/>
      <c r="F272" s="1"/>
      <c r="G272" s="9" t="s">
        <v>2080</v>
      </c>
      <c r="H272" s="9" t="s">
        <v>119</v>
      </c>
      <c r="I272" s="9" t="s">
        <v>1914</v>
      </c>
      <c r="J272" s="9" t="s">
        <v>1912</v>
      </c>
      <c r="K272" s="3" t="s">
        <v>2081</v>
      </c>
      <c r="L272" s="13" t="s">
        <v>2082</v>
      </c>
      <c r="M272" s="15">
        <f t="shared" si="11"/>
        <v>1.4293981481481421E-2</v>
      </c>
      <c r="N272">
        <f t="shared" si="12"/>
        <v>17</v>
      </c>
    </row>
    <row r="273" spans="1:14" x14ac:dyDescent="0.3">
      <c r="A273" s="1"/>
      <c r="B273" s="1"/>
      <c r="C273" s="1"/>
      <c r="D273" s="1"/>
      <c r="E273" s="1"/>
      <c r="F273" s="1"/>
      <c r="G273" s="9" t="s">
        <v>2083</v>
      </c>
      <c r="H273" s="9" t="s">
        <v>119</v>
      </c>
      <c r="I273" s="9" t="s">
        <v>1914</v>
      </c>
      <c r="J273" s="9" t="s">
        <v>1912</v>
      </c>
      <c r="K273" s="3" t="s">
        <v>2084</v>
      </c>
      <c r="L273" s="13" t="s">
        <v>2085</v>
      </c>
      <c r="M273" s="15">
        <f t="shared" si="11"/>
        <v>2.1863425925925939E-2</v>
      </c>
      <c r="N273">
        <f t="shared" si="12"/>
        <v>20</v>
      </c>
    </row>
    <row r="274" spans="1:14" x14ac:dyDescent="0.3">
      <c r="A274" s="1"/>
      <c r="B274" s="1"/>
      <c r="C274" s="1"/>
      <c r="D274" s="1"/>
      <c r="E274" s="1"/>
      <c r="F274" s="1"/>
      <c r="G274" s="9" t="s">
        <v>2086</v>
      </c>
      <c r="H274" s="9" t="s">
        <v>119</v>
      </c>
      <c r="I274" s="9" t="s">
        <v>1941</v>
      </c>
      <c r="J274" s="9" t="s">
        <v>1912</v>
      </c>
      <c r="K274" s="3" t="s">
        <v>2087</v>
      </c>
      <c r="L274" s="13" t="s">
        <v>2088</v>
      </c>
      <c r="M274" s="15">
        <f t="shared" si="11"/>
        <v>2.3171296296296218E-2</v>
      </c>
      <c r="N274">
        <f t="shared" si="12"/>
        <v>17</v>
      </c>
    </row>
    <row r="275" spans="1:14" x14ac:dyDescent="0.3">
      <c r="A275" s="1"/>
      <c r="B275" s="1"/>
      <c r="C275" s="9" t="s">
        <v>177</v>
      </c>
      <c r="D275" s="9" t="s">
        <v>178</v>
      </c>
      <c r="E275" s="9" t="s">
        <v>178</v>
      </c>
      <c r="F275" s="9" t="s">
        <v>22</v>
      </c>
      <c r="G275" s="11" t="s">
        <v>19</v>
      </c>
      <c r="H275" s="2"/>
      <c r="I275" s="2"/>
      <c r="J275" s="7"/>
      <c r="K275" s="4"/>
      <c r="L275" s="12"/>
    </row>
    <row r="276" spans="1:14" x14ac:dyDescent="0.3">
      <c r="A276" s="1"/>
      <c r="B276" s="1"/>
      <c r="C276" s="1"/>
      <c r="D276" s="1"/>
      <c r="E276" s="1"/>
      <c r="F276" s="1"/>
      <c r="G276" s="9" t="s">
        <v>179</v>
      </c>
      <c r="H276" s="9" t="s">
        <v>119</v>
      </c>
      <c r="I276" s="9" t="s">
        <v>25</v>
      </c>
      <c r="J276" s="9" t="s">
        <v>1912</v>
      </c>
      <c r="K276" s="3" t="s">
        <v>180</v>
      </c>
      <c r="L276" s="13" t="s">
        <v>181</v>
      </c>
      <c r="M276" s="15">
        <f t="shared" si="11"/>
        <v>1.5300925925925968E-2</v>
      </c>
      <c r="N276">
        <f t="shared" si="12"/>
        <v>6</v>
      </c>
    </row>
    <row r="277" spans="1:14" x14ac:dyDescent="0.3">
      <c r="A277" s="1"/>
      <c r="B277" s="1"/>
      <c r="C277" s="1"/>
      <c r="D277" s="1"/>
      <c r="E277" s="1"/>
      <c r="F277" s="1"/>
      <c r="G277" s="9" t="s">
        <v>182</v>
      </c>
      <c r="H277" s="9" t="s">
        <v>119</v>
      </c>
      <c r="I277" s="9" t="s">
        <v>25</v>
      </c>
      <c r="J277" s="9" t="s">
        <v>1912</v>
      </c>
      <c r="K277" s="3" t="s">
        <v>183</v>
      </c>
      <c r="L277" s="13" t="s">
        <v>184</v>
      </c>
      <c r="M277" s="15">
        <f t="shared" si="11"/>
        <v>2.0196759259259234E-2</v>
      </c>
      <c r="N277">
        <f t="shared" si="12"/>
        <v>17</v>
      </c>
    </row>
    <row r="278" spans="1:14" x14ac:dyDescent="0.3">
      <c r="A278" s="1"/>
      <c r="B278" s="1"/>
      <c r="C278" s="1"/>
      <c r="D278" s="1"/>
      <c r="E278" s="1"/>
      <c r="F278" s="1"/>
      <c r="G278" s="9" t="s">
        <v>601</v>
      </c>
      <c r="H278" s="9" t="s">
        <v>119</v>
      </c>
      <c r="I278" s="9" t="s">
        <v>486</v>
      </c>
      <c r="J278" s="9" t="s">
        <v>1912</v>
      </c>
      <c r="K278" s="3" t="s">
        <v>602</v>
      </c>
      <c r="L278" s="13" t="s">
        <v>603</v>
      </c>
      <c r="M278" s="15">
        <f t="shared" si="11"/>
        <v>1.7685185185185248E-2</v>
      </c>
      <c r="N278">
        <f t="shared" si="12"/>
        <v>13</v>
      </c>
    </row>
    <row r="279" spans="1:14" x14ac:dyDescent="0.3">
      <c r="A279" s="1"/>
      <c r="B279" s="1"/>
      <c r="C279" s="1"/>
      <c r="D279" s="1"/>
      <c r="E279" s="1"/>
      <c r="F279" s="1"/>
      <c r="G279" s="9" t="s">
        <v>604</v>
      </c>
      <c r="H279" s="9" t="s">
        <v>119</v>
      </c>
      <c r="I279" s="9" t="s">
        <v>486</v>
      </c>
      <c r="J279" s="9" t="s">
        <v>1912</v>
      </c>
      <c r="K279" s="3" t="s">
        <v>605</v>
      </c>
      <c r="L279" s="13" t="s">
        <v>606</v>
      </c>
      <c r="M279" s="15">
        <f t="shared" si="11"/>
        <v>3.4768518518518476E-2</v>
      </c>
      <c r="N279">
        <f t="shared" si="12"/>
        <v>16</v>
      </c>
    </row>
    <row r="280" spans="1:14" x14ac:dyDescent="0.3">
      <c r="A280" s="1"/>
      <c r="B280" s="1"/>
      <c r="C280" s="1"/>
      <c r="D280" s="1"/>
      <c r="E280" s="1"/>
      <c r="F280" s="1"/>
      <c r="G280" s="9" t="s">
        <v>1031</v>
      </c>
      <c r="H280" s="9" t="s">
        <v>119</v>
      </c>
      <c r="I280" s="9" t="s">
        <v>926</v>
      </c>
      <c r="J280" s="9" t="s">
        <v>1912</v>
      </c>
      <c r="K280" s="3" t="s">
        <v>1032</v>
      </c>
      <c r="L280" s="13" t="s">
        <v>1033</v>
      </c>
      <c r="M280" s="15">
        <f t="shared" si="11"/>
        <v>1.6284722222222214E-2</v>
      </c>
      <c r="N280">
        <f t="shared" si="12"/>
        <v>17</v>
      </c>
    </row>
    <row r="281" spans="1:14" x14ac:dyDescent="0.3">
      <c r="A281" s="1"/>
      <c r="B281" s="1"/>
      <c r="C281" s="1"/>
      <c r="D281" s="1"/>
      <c r="E281" s="1"/>
      <c r="F281" s="1"/>
      <c r="G281" s="9" t="s">
        <v>1034</v>
      </c>
      <c r="H281" s="9" t="s">
        <v>119</v>
      </c>
      <c r="I281" s="9" t="s">
        <v>926</v>
      </c>
      <c r="J281" s="9" t="s">
        <v>1912</v>
      </c>
      <c r="K281" s="3" t="s">
        <v>1035</v>
      </c>
      <c r="L281" s="13" t="s">
        <v>1036</v>
      </c>
      <c r="M281" s="15">
        <f t="shared" si="11"/>
        <v>1.5601851851851811E-2</v>
      </c>
      <c r="N281">
        <f t="shared" si="12"/>
        <v>20</v>
      </c>
    </row>
    <row r="282" spans="1:14" x14ac:dyDescent="0.3">
      <c r="A282" s="1"/>
      <c r="B282" s="1"/>
      <c r="C282" s="1"/>
      <c r="D282" s="1"/>
      <c r="E282" s="1"/>
      <c r="F282" s="1"/>
      <c r="G282" s="9" t="s">
        <v>1442</v>
      </c>
      <c r="H282" s="9" t="s">
        <v>119</v>
      </c>
      <c r="I282" s="9" t="s">
        <v>1296</v>
      </c>
      <c r="J282" s="9" t="s">
        <v>1912</v>
      </c>
      <c r="K282" s="3" t="s">
        <v>1443</v>
      </c>
      <c r="L282" s="13" t="s">
        <v>1444</v>
      </c>
      <c r="M282" s="15">
        <f t="shared" si="11"/>
        <v>3.5358796296296346E-2</v>
      </c>
      <c r="N282">
        <f t="shared" si="12"/>
        <v>11</v>
      </c>
    </row>
    <row r="283" spans="1:14" x14ac:dyDescent="0.3">
      <c r="A283" s="1"/>
      <c r="B283" s="1"/>
      <c r="C283" s="1"/>
      <c r="D283" s="1"/>
      <c r="E283" s="1"/>
      <c r="F283" s="1"/>
      <c r="G283" s="9" t="s">
        <v>1445</v>
      </c>
      <c r="H283" s="9" t="s">
        <v>119</v>
      </c>
      <c r="I283" s="9" t="s">
        <v>1296</v>
      </c>
      <c r="J283" s="9" t="s">
        <v>1912</v>
      </c>
      <c r="K283" s="3" t="s">
        <v>1446</v>
      </c>
      <c r="L283" s="13" t="s">
        <v>1447</v>
      </c>
      <c r="M283" s="15">
        <f t="shared" si="11"/>
        <v>3.0115740740740748E-2</v>
      </c>
      <c r="N283">
        <f t="shared" si="12"/>
        <v>17</v>
      </c>
    </row>
    <row r="284" spans="1:14" x14ac:dyDescent="0.3">
      <c r="A284" s="1"/>
      <c r="B284" s="1"/>
      <c r="C284" s="1"/>
      <c r="D284" s="1"/>
      <c r="E284" s="1"/>
      <c r="F284" s="1"/>
      <c r="G284" s="9" t="s">
        <v>2089</v>
      </c>
      <c r="H284" s="9" t="s">
        <v>119</v>
      </c>
      <c r="I284" s="9" t="s">
        <v>1945</v>
      </c>
      <c r="J284" s="9" t="s">
        <v>1912</v>
      </c>
      <c r="K284" s="3" t="s">
        <v>2090</v>
      </c>
      <c r="L284" s="13" t="s">
        <v>2091</v>
      </c>
      <c r="M284" s="15">
        <f t="shared" si="11"/>
        <v>2.4560185185185102E-2</v>
      </c>
      <c r="N284">
        <f t="shared" si="12"/>
        <v>18</v>
      </c>
    </row>
    <row r="285" spans="1:14" x14ac:dyDescent="0.3">
      <c r="A285" s="1"/>
      <c r="B285" s="1"/>
      <c r="C285" s="9" t="s">
        <v>607</v>
      </c>
      <c r="D285" s="9" t="s">
        <v>608</v>
      </c>
      <c r="E285" s="9" t="s">
        <v>608</v>
      </c>
      <c r="F285" s="9" t="s">
        <v>22</v>
      </c>
      <c r="G285" s="11" t="s">
        <v>19</v>
      </c>
      <c r="H285" s="2"/>
      <c r="I285" s="2"/>
      <c r="J285" s="7"/>
      <c r="K285" s="4"/>
      <c r="L285" s="12"/>
    </row>
    <row r="286" spans="1:14" x14ac:dyDescent="0.3">
      <c r="A286" s="1"/>
      <c r="B286" s="1"/>
      <c r="C286" s="1"/>
      <c r="D286" s="1"/>
      <c r="E286" s="1"/>
      <c r="F286" s="1"/>
      <c r="G286" s="9" t="s">
        <v>609</v>
      </c>
      <c r="H286" s="9" t="s">
        <v>119</v>
      </c>
      <c r="I286" s="9" t="s">
        <v>486</v>
      </c>
      <c r="J286" s="9" t="s">
        <v>1912</v>
      </c>
      <c r="K286" s="3" t="s">
        <v>610</v>
      </c>
      <c r="L286" s="13" t="s">
        <v>611</v>
      </c>
      <c r="M286" s="15">
        <f t="shared" si="11"/>
        <v>1.5335648148148251E-2</v>
      </c>
      <c r="N286">
        <f t="shared" si="12"/>
        <v>19</v>
      </c>
    </row>
    <row r="287" spans="1:14" x14ac:dyDescent="0.3">
      <c r="A287" s="1"/>
      <c r="B287" s="1"/>
      <c r="C287" s="1"/>
      <c r="D287" s="1"/>
      <c r="E287" s="1"/>
      <c r="F287" s="1"/>
      <c r="G287" s="9" t="s">
        <v>1037</v>
      </c>
      <c r="H287" s="9" t="s">
        <v>119</v>
      </c>
      <c r="I287" s="9" t="s">
        <v>926</v>
      </c>
      <c r="J287" s="9" t="s">
        <v>1912</v>
      </c>
      <c r="K287" s="3" t="s">
        <v>1038</v>
      </c>
      <c r="L287" s="13" t="s">
        <v>1039</v>
      </c>
      <c r="M287" s="15">
        <f t="shared" si="11"/>
        <v>1.4293981481481449E-2</v>
      </c>
      <c r="N287">
        <f t="shared" si="12"/>
        <v>4</v>
      </c>
    </row>
    <row r="288" spans="1:14" x14ac:dyDescent="0.3">
      <c r="A288" s="1"/>
      <c r="B288" s="1"/>
      <c r="C288" s="1"/>
      <c r="D288" s="1"/>
      <c r="E288" s="1"/>
      <c r="F288" s="1"/>
      <c r="G288" s="9" t="s">
        <v>1448</v>
      </c>
      <c r="H288" s="9" t="s">
        <v>119</v>
      </c>
      <c r="I288" s="9" t="s">
        <v>1296</v>
      </c>
      <c r="J288" s="9" t="s">
        <v>1912</v>
      </c>
      <c r="K288" s="3" t="s">
        <v>1449</v>
      </c>
      <c r="L288" s="13" t="s">
        <v>1450</v>
      </c>
      <c r="M288" s="15">
        <f t="shared" si="11"/>
        <v>1.6967592592592617E-2</v>
      </c>
      <c r="N288">
        <f t="shared" si="12"/>
        <v>4</v>
      </c>
    </row>
    <row r="289" spans="1:14" x14ac:dyDescent="0.3">
      <c r="A289" s="1"/>
      <c r="B289" s="1"/>
      <c r="C289" s="1"/>
      <c r="D289" s="1"/>
      <c r="E289" s="1"/>
      <c r="F289" s="1"/>
      <c r="G289" s="9" t="s">
        <v>2092</v>
      </c>
      <c r="H289" s="9" t="s">
        <v>119</v>
      </c>
      <c r="I289" s="9" t="s">
        <v>1914</v>
      </c>
      <c r="J289" s="9" t="s">
        <v>1912</v>
      </c>
      <c r="K289" s="3" t="s">
        <v>2093</v>
      </c>
      <c r="L289" s="13" t="s">
        <v>2094</v>
      </c>
      <c r="M289" s="15">
        <f t="shared" si="11"/>
        <v>1.4166666666666661E-2</v>
      </c>
      <c r="N289">
        <f t="shared" si="12"/>
        <v>4</v>
      </c>
    </row>
    <row r="290" spans="1:14" x14ac:dyDescent="0.3">
      <c r="A290" s="1"/>
      <c r="B290" s="1"/>
      <c r="C290" s="1"/>
      <c r="D290" s="1"/>
      <c r="E290" s="1"/>
      <c r="F290" s="1"/>
      <c r="G290" s="9" t="s">
        <v>2095</v>
      </c>
      <c r="H290" s="9" t="s">
        <v>119</v>
      </c>
      <c r="I290" s="9" t="s">
        <v>1914</v>
      </c>
      <c r="J290" s="9" t="s">
        <v>1912</v>
      </c>
      <c r="K290" s="3" t="s">
        <v>2096</v>
      </c>
      <c r="L290" s="13" t="s">
        <v>2097</v>
      </c>
      <c r="M290" s="15">
        <f t="shared" si="11"/>
        <v>2.5844907407407414E-2</v>
      </c>
      <c r="N290">
        <f t="shared" si="12"/>
        <v>4</v>
      </c>
    </row>
    <row r="291" spans="1:14" x14ac:dyDescent="0.3">
      <c r="A291" s="1"/>
      <c r="B291" s="1"/>
      <c r="C291" s="9" t="s">
        <v>185</v>
      </c>
      <c r="D291" s="9" t="s">
        <v>186</v>
      </c>
      <c r="E291" s="9" t="s">
        <v>186</v>
      </c>
      <c r="F291" s="9" t="s">
        <v>22</v>
      </c>
      <c r="G291" s="11" t="s">
        <v>19</v>
      </c>
      <c r="H291" s="2"/>
      <c r="I291" s="2"/>
      <c r="J291" s="7"/>
      <c r="K291" s="4"/>
      <c r="L291" s="12"/>
    </row>
    <row r="292" spans="1:14" x14ac:dyDescent="0.3">
      <c r="A292" s="1"/>
      <c r="B292" s="1"/>
      <c r="C292" s="1"/>
      <c r="D292" s="1"/>
      <c r="E292" s="1"/>
      <c r="F292" s="1"/>
      <c r="G292" s="9" t="s">
        <v>187</v>
      </c>
      <c r="H292" s="9" t="s">
        <v>119</v>
      </c>
      <c r="I292" s="9" t="s">
        <v>25</v>
      </c>
      <c r="J292" s="9" t="s">
        <v>1912</v>
      </c>
      <c r="K292" s="3" t="s">
        <v>188</v>
      </c>
      <c r="L292" s="13" t="s">
        <v>189</v>
      </c>
      <c r="M292" s="15">
        <f t="shared" si="11"/>
        <v>1.4467592592592615E-2</v>
      </c>
      <c r="N292">
        <f t="shared" si="12"/>
        <v>5</v>
      </c>
    </row>
    <row r="293" spans="1:14" x14ac:dyDescent="0.3">
      <c r="A293" s="1"/>
      <c r="B293" s="1"/>
      <c r="C293" s="1"/>
      <c r="D293" s="1"/>
      <c r="E293" s="1"/>
      <c r="F293" s="1"/>
      <c r="G293" s="9" t="s">
        <v>612</v>
      </c>
      <c r="H293" s="9" t="s">
        <v>119</v>
      </c>
      <c r="I293" s="9" t="s">
        <v>486</v>
      </c>
      <c r="J293" s="9" t="s">
        <v>1912</v>
      </c>
      <c r="K293" s="3" t="s">
        <v>613</v>
      </c>
      <c r="L293" s="13" t="s">
        <v>614</v>
      </c>
      <c r="M293" s="15">
        <f t="shared" si="11"/>
        <v>3.9988425925925941E-2</v>
      </c>
      <c r="N293">
        <f t="shared" si="12"/>
        <v>10</v>
      </c>
    </row>
    <row r="294" spans="1:14" x14ac:dyDescent="0.3">
      <c r="A294" s="1"/>
      <c r="B294" s="1"/>
      <c r="C294" s="1"/>
      <c r="D294" s="1"/>
      <c r="E294" s="1"/>
      <c r="F294" s="1"/>
      <c r="G294" s="9" t="s">
        <v>615</v>
      </c>
      <c r="H294" s="9" t="s">
        <v>119</v>
      </c>
      <c r="I294" s="9" t="s">
        <v>486</v>
      </c>
      <c r="J294" s="9" t="s">
        <v>1912</v>
      </c>
      <c r="K294" s="3" t="s">
        <v>616</v>
      </c>
      <c r="L294" s="13" t="s">
        <v>617</v>
      </c>
      <c r="M294" s="15">
        <f t="shared" si="11"/>
        <v>1.809027777777783E-2</v>
      </c>
      <c r="N294">
        <f t="shared" si="12"/>
        <v>20</v>
      </c>
    </row>
    <row r="295" spans="1:14" x14ac:dyDescent="0.3">
      <c r="A295" s="1"/>
      <c r="B295" s="1"/>
      <c r="C295" s="1"/>
      <c r="D295" s="1"/>
      <c r="E295" s="1"/>
      <c r="F295" s="1"/>
      <c r="G295" s="9" t="s">
        <v>2098</v>
      </c>
      <c r="H295" s="9" t="s">
        <v>119</v>
      </c>
      <c r="I295" s="9" t="s">
        <v>1914</v>
      </c>
      <c r="J295" s="9" t="s">
        <v>1912</v>
      </c>
      <c r="K295" s="3" t="s">
        <v>2099</v>
      </c>
      <c r="L295" s="13" t="s">
        <v>2100</v>
      </c>
      <c r="M295" s="15">
        <f t="shared" si="11"/>
        <v>2.1759259259259256E-2</v>
      </c>
      <c r="N295">
        <f t="shared" si="12"/>
        <v>10</v>
      </c>
    </row>
    <row r="296" spans="1:14" x14ac:dyDescent="0.3">
      <c r="A296" s="1"/>
      <c r="B296" s="1"/>
      <c r="C296" s="9" t="s">
        <v>47</v>
      </c>
      <c r="D296" s="9" t="s">
        <v>48</v>
      </c>
      <c r="E296" s="9" t="s">
        <v>190</v>
      </c>
      <c r="F296" s="9" t="s">
        <v>22</v>
      </c>
      <c r="G296" s="11" t="s">
        <v>19</v>
      </c>
      <c r="H296" s="2"/>
      <c r="I296" s="2"/>
      <c r="J296" s="7"/>
      <c r="K296" s="4"/>
      <c r="L296" s="12"/>
    </row>
    <row r="297" spans="1:14" x14ac:dyDescent="0.3">
      <c r="A297" s="1"/>
      <c r="B297" s="1"/>
      <c r="C297" s="1"/>
      <c r="D297" s="1"/>
      <c r="E297" s="1"/>
      <c r="F297" s="1"/>
      <c r="G297" s="9" t="s">
        <v>191</v>
      </c>
      <c r="H297" s="9" t="s">
        <v>192</v>
      </c>
      <c r="I297" s="9" t="s">
        <v>25</v>
      </c>
      <c r="J297" s="9" t="s">
        <v>1912</v>
      </c>
      <c r="K297" s="3" t="s">
        <v>193</v>
      </c>
      <c r="L297" s="13" t="s">
        <v>194</v>
      </c>
      <c r="M297" s="15">
        <f t="shared" si="11"/>
        <v>2.4259259259259314E-2</v>
      </c>
      <c r="N297">
        <f t="shared" si="12"/>
        <v>15</v>
      </c>
    </row>
    <row r="298" spans="1:14" x14ac:dyDescent="0.3">
      <c r="A298" s="1"/>
      <c r="B298" s="1"/>
      <c r="C298" s="1"/>
      <c r="D298" s="1"/>
      <c r="E298" s="1"/>
      <c r="F298" s="1"/>
      <c r="G298" s="9" t="s">
        <v>195</v>
      </c>
      <c r="H298" s="9" t="s">
        <v>192</v>
      </c>
      <c r="I298" s="9" t="s">
        <v>25</v>
      </c>
      <c r="J298" s="9" t="s">
        <v>1912</v>
      </c>
      <c r="K298" s="3" t="s">
        <v>196</v>
      </c>
      <c r="L298" s="13" t="s">
        <v>197</v>
      </c>
      <c r="M298" s="15">
        <f t="shared" si="11"/>
        <v>3.0879629629629535E-2</v>
      </c>
      <c r="N298">
        <f t="shared" si="12"/>
        <v>16</v>
      </c>
    </row>
    <row r="299" spans="1:14" x14ac:dyDescent="0.3">
      <c r="A299" s="1"/>
      <c r="B299" s="1"/>
      <c r="C299" s="1"/>
      <c r="D299" s="1"/>
      <c r="E299" s="1"/>
      <c r="F299" s="1"/>
      <c r="G299" s="9" t="s">
        <v>198</v>
      </c>
      <c r="H299" s="9" t="s">
        <v>192</v>
      </c>
      <c r="I299" s="9" t="s">
        <v>25</v>
      </c>
      <c r="J299" s="9" t="s">
        <v>1912</v>
      </c>
      <c r="K299" s="3" t="s">
        <v>199</v>
      </c>
      <c r="L299" s="13" t="s">
        <v>200</v>
      </c>
      <c r="M299" s="15">
        <f t="shared" si="11"/>
        <v>2.1493055555555474E-2</v>
      </c>
      <c r="N299">
        <f t="shared" si="12"/>
        <v>16</v>
      </c>
    </row>
    <row r="300" spans="1:14" x14ac:dyDescent="0.3">
      <c r="A300" s="1"/>
      <c r="B300" s="1"/>
      <c r="C300" s="1"/>
      <c r="D300" s="1"/>
      <c r="E300" s="1"/>
      <c r="F300" s="1"/>
      <c r="G300" s="9" t="s">
        <v>201</v>
      </c>
      <c r="H300" s="9" t="s">
        <v>192</v>
      </c>
      <c r="I300" s="9" t="s">
        <v>25</v>
      </c>
      <c r="J300" s="9" t="s">
        <v>1912</v>
      </c>
      <c r="K300" s="3" t="s">
        <v>202</v>
      </c>
      <c r="L300" s="13" t="s">
        <v>203</v>
      </c>
      <c r="M300" s="15">
        <f t="shared" si="11"/>
        <v>1.2789351851851816E-2</v>
      </c>
      <c r="N300">
        <f t="shared" si="12"/>
        <v>18</v>
      </c>
    </row>
    <row r="301" spans="1:14" x14ac:dyDescent="0.3">
      <c r="A301" s="1"/>
      <c r="B301" s="1"/>
      <c r="C301" s="1"/>
      <c r="D301" s="1"/>
      <c r="E301" s="1"/>
      <c r="F301" s="1"/>
      <c r="G301" s="9" t="s">
        <v>618</v>
      </c>
      <c r="H301" s="9" t="s">
        <v>192</v>
      </c>
      <c r="I301" s="9" t="s">
        <v>486</v>
      </c>
      <c r="J301" s="9" t="s">
        <v>1912</v>
      </c>
      <c r="K301" s="3" t="s">
        <v>619</v>
      </c>
      <c r="L301" s="13" t="s">
        <v>620</v>
      </c>
      <c r="M301" s="15">
        <f t="shared" si="11"/>
        <v>3.7002314814814807E-2</v>
      </c>
      <c r="N301">
        <f t="shared" si="12"/>
        <v>6</v>
      </c>
    </row>
    <row r="302" spans="1:14" x14ac:dyDescent="0.3">
      <c r="A302" s="1"/>
      <c r="B302" s="1"/>
      <c r="C302" s="1"/>
      <c r="D302" s="1"/>
      <c r="E302" s="1"/>
      <c r="F302" s="1"/>
      <c r="G302" s="9" t="s">
        <v>621</v>
      </c>
      <c r="H302" s="9" t="s">
        <v>192</v>
      </c>
      <c r="I302" s="9" t="s">
        <v>486</v>
      </c>
      <c r="J302" s="9" t="s">
        <v>1912</v>
      </c>
      <c r="K302" s="3" t="s">
        <v>622</v>
      </c>
      <c r="L302" s="13" t="s">
        <v>623</v>
      </c>
      <c r="M302" s="15">
        <f t="shared" si="11"/>
        <v>2.7812500000000018E-2</v>
      </c>
      <c r="N302">
        <f t="shared" si="12"/>
        <v>10</v>
      </c>
    </row>
    <row r="303" spans="1:14" x14ac:dyDescent="0.3">
      <c r="A303" s="1"/>
      <c r="B303" s="1"/>
      <c r="C303" s="1"/>
      <c r="D303" s="1"/>
      <c r="E303" s="1"/>
      <c r="F303" s="1"/>
      <c r="G303" s="9" t="s">
        <v>624</v>
      </c>
      <c r="H303" s="9" t="s">
        <v>192</v>
      </c>
      <c r="I303" s="9" t="s">
        <v>486</v>
      </c>
      <c r="J303" s="9" t="s">
        <v>1912</v>
      </c>
      <c r="K303" s="3" t="s">
        <v>625</v>
      </c>
      <c r="L303" s="13" t="s">
        <v>626</v>
      </c>
      <c r="M303" s="15">
        <f t="shared" si="11"/>
        <v>3.0277777777777737E-2</v>
      </c>
      <c r="N303">
        <f t="shared" si="12"/>
        <v>12</v>
      </c>
    </row>
    <row r="304" spans="1:14" x14ac:dyDescent="0.3">
      <c r="A304" s="1"/>
      <c r="B304" s="1"/>
      <c r="C304" s="1"/>
      <c r="D304" s="1"/>
      <c r="E304" s="1"/>
      <c r="F304" s="1"/>
      <c r="G304" s="9" t="s">
        <v>1040</v>
      </c>
      <c r="H304" s="9" t="s">
        <v>192</v>
      </c>
      <c r="I304" s="9" t="s">
        <v>926</v>
      </c>
      <c r="J304" s="9" t="s">
        <v>1912</v>
      </c>
      <c r="K304" s="3" t="s">
        <v>1041</v>
      </c>
      <c r="L304" s="13" t="s">
        <v>1042</v>
      </c>
      <c r="M304" s="15">
        <f t="shared" si="11"/>
        <v>1.5763888888888911E-2</v>
      </c>
      <c r="N304">
        <f t="shared" si="12"/>
        <v>6</v>
      </c>
    </row>
    <row r="305" spans="1:14" x14ac:dyDescent="0.3">
      <c r="A305" s="1"/>
      <c r="B305" s="1"/>
      <c r="C305" s="1"/>
      <c r="D305" s="1"/>
      <c r="E305" s="1"/>
      <c r="F305" s="1"/>
      <c r="G305" s="9" t="s">
        <v>1043</v>
      </c>
      <c r="H305" s="9" t="s">
        <v>192</v>
      </c>
      <c r="I305" s="9" t="s">
        <v>926</v>
      </c>
      <c r="J305" s="9" t="s">
        <v>1912</v>
      </c>
      <c r="K305" s="3" t="s">
        <v>1044</v>
      </c>
      <c r="L305" s="13" t="s">
        <v>1045</v>
      </c>
      <c r="M305" s="15">
        <f t="shared" si="11"/>
        <v>2.8171296296296278E-2</v>
      </c>
      <c r="N305">
        <f t="shared" si="12"/>
        <v>10</v>
      </c>
    </row>
    <row r="306" spans="1:14" x14ac:dyDescent="0.3">
      <c r="A306" s="1"/>
      <c r="B306" s="1"/>
      <c r="C306" s="1"/>
      <c r="D306" s="1"/>
      <c r="E306" s="1"/>
      <c r="F306" s="1"/>
      <c r="G306" s="9" t="s">
        <v>1046</v>
      </c>
      <c r="H306" s="9" t="s">
        <v>192</v>
      </c>
      <c r="I306" s="9" t="s">
        <v>926</v>
      </c>
      <c r="J306" s="9" t="s">
        <v>1912</v>
      </c>
      <c r="K306" s="3" t="s">
        <v>1047</v>
      </c>
      <c r="L306" s="13" t="s">
        <v>1048</v>
      </c>
      <c r="M306" s="15">
        <f t="shared" si="11"/>
        <v>3.0324074074074003E-2</v>
      </c>
      <c r="N306">
        <f t="shared" si="12"/>
        <v>12</v>
      </c>
    </row>
    <row r="307" spans="1:14" x14ac:dyDescent="0.3">
      <c r="A307" s="1"/>
      <c r="B307" s="1"/>
      <c r="C307" s="1"/>
      <c r="D307" s="1"/>
      <c r="E307" s="1"/>
      <c r="F307" s="1"/>
      <c r="G307" s="9" t="s">
        <v>1451</v>
      </c>
      <c r="H307" s="9" t="s">
        <v>192</v>
      </c>
      <c r="I307" s="9" t="s">
        <v>1296</v>
      </c>
      <c r="J307" s="9" t="s">
        <v>1912</v>
      </c>
      <c r="K307" s="3" t="s">
        <v>1452</v>
      </c>
      <c r="L307" s="13" t="s">
        <v>1453</v>
      </c>
      <c r="M307" s="15">
        <f t="shared" si="11"/>
        <v>1.6597222222222263E-2</v>
      </c>
      <c r="N307">
        <f t="shared" si="12"/>
        <v>6</v>
      </c>
    </row>
    <row r="308" spans="1:14" x14ac:dyDescent="0.3">
      <c r="A308" s="1"/>
      <c r="B308" s="1"/>
      <c r="C308" s="1"/>
      <c r="D308" s="1"/>
      <c r="E308" s="1"/>
      <c r="F308" s="1"/>
      <c r="G308" s="9" t="s">
        <v>1454</v>
      </c>
      <c r="H308" s="9" t="s">
        <v>192</v>
      </c>
      <c r="I308" s="9" t="s">
        <v>1296</v>
      </c>
      <c r="J308" s="9" t="s">
        <v>1912</v>
      </c>
      <c r="K308" s="3" t="s">
        <v>1455</v>
      </c>
      <c r="L308" s="13" t="s">
        <v>1456</v>
      </c>
      <c r="M308" s="15">
        <f t="shared" si="11"/>
        <v>3.2789351851851944E-2</v>
      </c>
      <c r="N308">
        <f t="shared" si="12"/>
        <v>11</v>
      </c>
    </row>
    <row r="309" spans="1:14" x14ac:dyDescent="0.3">
      <c r="A309" s="1"/>
      <c r="B309" s="1"/>
      <c r="C309" s="1"/>
      <c r="D309" s="1"/>
      <c r="E309" s="1"/>
      <c r="F309" s="1"/>
      <c r="G309" s="9" t="s">
        <v>1457</v>
      </c>
      <c r="H309" s="9" t="s">
        <v>192</v>
      </c>
      <c r="I309" s="9" t="s">
        <v>1296</v>
      </c>
      <c r="J309" s="9" t="s">
        <v>1912</v>
      </c>
      <c r="K309" s="3" t="s">
        <v>1458</v>
      </c>
      <c r="L309" s="13" t="s">
        <v>1459</v>
      </c>
      <c r="M309" s="15">
        <f t="shared" si="11"/>
        <v>1.9039351851851793E-2</v>
      </c>
      <c r="N309">
        <f t="shared" si="12"/>
        <v>14</v>
      </c>
    </row>
    <row r="310" spans="1:14" x14ac:dyDescent="0.3">
      <c r="A310" s="1"/>
      <c r="B310" s="1"/>
      <c r="C310" s="1"/>
      <c r="D310" s="1"/>
      <c r="E310" s="1"/>
      <c r="F310" s="1"/>
      <c r="G310" s="9" t="s">
        <v>2101</v>
      </c>
      <c r="H310" s="9" t="s">
        <v>192</v>
      </c>
      <c r="I310" s="9" t="s">
        <v>1914</v>
      </c>
      <c r="J310" s="9" t="s">
        <v>1912</v>
      </c>
      <c r="K310" s="3" t="s">
        <v>2102</v>
      </c>
      <c r="L310" s="13" t="s">
        <v>2103</v>
      </c>
      <c r="M310" s="15">
        <f t="shared" si="11"/>
        <v>1.4050925925925939E-2</v>
      </c>
      <c r="N310">
        <f t="shared" si="12"/>
        <v>2</v>
      </c>
    </row>
    <row r="311" spans="1:14" x14ac:dyDescent="0.3">
      <c r="A311" s="1"/>
      <c r="B311" s="1"/>
      <c r="C311" s="9" t="s">
        <v>395</v>
      </c>
      <c r="D311" s="9" t="s">
        <v>396</v>
      </c>
      <c r="E311" s="9" t="s">
        <v>396</v>
      </c>
      <c r="F311" s="9" t="s">
        <v>22</v>
      </c>
      <c r="G311" s="9" t="s">
        <v>2104</v>
      </c>
      <c r="H311" s="9" t="s">
        <v>119</v>
      </c>
      <c r="I311" s="9" t="s">
        <v>1914</v>
      </c>
      <c r="J311" s="9" t="s">
        <v>1912</v>
      </c>
      <c r="K311" s="3" t="s">
        <v>2105</v>
      </c>
      <c r="L311" s="13" t="s">
        <v>2106</v>
      </c>
      <c r="M311" s="15">
        <f t="shared" si="11"/>
        <v>1.6319444444444442E-2</v>
      </c>
      <c r="N311">
        <f t="shared" si="12"/>
        <v>18</v>
      </c>
    </row>
    <row r="312" spans="1:14" x14ac:dyDescent="0.3">
      <c r="A312" s="1"/>
      <c r="B312" s="1"/>
      <c r="C312" s="9" t="s">
        <v>627</v>
      </c>
      <c r="D312" s="9" t="s">
        <v>628</v>
      </c>
      <c r="E312" s="9" t="s">
        <v>628</v>
      </c>
      <c r="F312" s="9" t="s">
        <v>22</v>
      </c>
      <c r="G312" s="11" t="s">
        <v>19</v>
      </c>
      <c r="H312" s="2"/>
      <c r="I312" s="2"/>
      <c r="J312" s="7"/>
      <c r="K312" s="4"/>
      <c r="L312" s="12"/>
    </row>
    <row r="313" spans="1:14" x14ac:dyDescent="0.3">
      <c r="A313" s="1"/>
      <c r="B313" s="1"/>
      <c r="C313" s="1"/>
      <c r="D313" s="1"/>
      <c r="E313" s="1"/>
      <c r="F313" s="1"/>
      <c r="G313" s="9" t="s">
        <v>629</v>
      </c>
      <c r="H313" s="9" t="s">
        <v>119</v>
      </c>
      <c r="I313" s="9" t="s">
        <v>486</v>
      </c>
      <c r="J313" s="9" t="s">
        <v>1912</v>
      </c>
      <c r="K313" s="3" t="s">
        <v>630</v>
      </c>
      <c r="L313" s="13" t="s">
        <v>631</v>
      </c>
      <c r="M313" s="15">
        <f t="shared" si="11"/>
        <v>1.1203703703703716E-2</v>
      </c>
      <c r="N313">
        <f t="shared" si="12"/>
        <v>18</v>
      </c>
    </row>
    <row r="314" spans="1:14" x14ac:dyDescent="0.3">
      <c r="A314" s="1"/>
      <c r="B314" s="1"/>
      <c r="C314" s="1"/>
      <c r="D314" s="1"/>
      <c r="E314" s="1"/>
      <c r="F314" s="1"/>
      <c r="G314" s="9" t="s">
        <v>632</v>
      </c>
      <c r="H314" s="9" t="s">
        <v>119</v>
      </c>
      <c r="I314" s="9" t="s">
        <v>486</v>
      </c>
      <c r="J314" s="9" t="s">
        <v>1912</v>
      </c>
      <c r="K314" s="3" t="s">
        <v>633</v>
      </c>
      <c r="L314" s="13" t="s">
        <v>634</v>
      </c>
      <c r="M314" s="15">
        <f t="shared" si="11"/>
        <v>2.5706018518518503E-2</v>
      </c>
      <c r="N314">
        <f t="shared" si="12"/>
        <v>22</v>
      </c>
    </row>
    <row r="315" spans="1:14" x14ac:dyDescent="0.3">
      <c r="A315" s="1"/>
      <c r="B315" s="1"/>
      <c r="C315" s="1"/>
      <c r="D315" s="1"/>
      <c r="E315" s="1"/>
      <c r="F315" s="1"/>
      <c r="G315" s="9" t="s">
        <v>1460</v>
      </c>
      <c r="H315" s="9" t="s">
        <v>119</v>
      </c>
      <c r="I315" s="9" t="s">
        <v>1296</v>
      </c>
      <c r="J315" s="9" t="s">
        <v>1912</v>
      </c>
      <c r="K315" s="3" t="s">
        <v>1181</v>
      </c>
      <c r="L315" s="13" t="s">
        <v>1461</v>
      </c>
      <c r="M315" s="15">
        <f t="shared" si="11"/>
        <v>2.1944444444444433E-2</v>
      </c>
      <c r="N315">
        <f t="shared" si="12"/>
        <v>7</v>
      </c>
    </row>
    <row r="316" spans="1:14" x14ac:dyDescent="0.3">
      <c r="A316" s="1"/>
      <c r="B316" s="1"/>
      <c r="C316" s="1"/>
      <c r="D316" s="1"/>
      <c r="E316" s="1"/>
      <c r="F316" s="1"/>
      <c r="G316" s="9" t="s">
        <v>2107</v>
      </c>
      <c r="H316" s="9" t="s">
        <v>119</v>
      </c>
      <c r="I316" s="9" t="s">
        <v>1914</v>
      </c>
      <c r="J316" s="9" t="s">
        <v>1912</v>
      </c>
      <c r="K316" s="3" t="s">
        <v>2108</v>
      </c>
      <c r="L316" s="13" t="s">
        <v>2109</v>
      </c>
      <c r="M316" s="15">
        <f t="shared" si="11"/>
        <v>2.4768518518518468E-2</v>
      </c>
      <c r="N316">
        <f t="shared" si="12"/>
        <v>6</v>
      </c>
    </row>
    <row r="317" spans="1:14" x14ac:dyDescent="0.3">
      <c r="A317" s="1"/>
      <c r="B317" s="1"/>
      <c r="C317" s="1"/>
      <c r="D317" s="1"/>
      <c r="E317" s="1"/>
      <c r="F317" s="1"/>
      <c r="G317" s="9" t="s">
        <v>2110</v>
      </c>
      <c r="H317" s="9" t="s">
        <v>119</v>
      </c>
      <c r="I317" s="9" t="s">
        <v>1914</v>
      </c>
      <c r="J317" s="9" t="s">
        <v>1912</v>
      </c>
      <c r="K317" s="3" t="s">
        <v>2111</v>
      </c>
      <c r="L317" s="13" t="s">
        <v>2112</v>
      </c>
      <c r="M317" s="15">
        <f t="shared" si="11"/>
        <v>2.7557870370370385E-2</v>
      </c>
      <c r="N317">
        <f t="shared" si="12"/>
        <v>14</v>
      </c>
    </row>
    <row r="318" spans="1:14" x14ac:dyDescent="0.3">
      <c r="A318" s="1"/>
      <c r="B318" s="1"/>
      <c r="C318" s="9" t="s">
        <v>204</v>
      </c>
      <c r="D318" s="9" t="s">
        <v>205</v>
      </c>
      <c r="E318" s="9" t="s">
        <v>205</v>
      </c>
      <c r="F318" s="9" t="s">
        <v>22</v>
      </c>
      <c r="G318" s="11" t="s">
        <v>19</v>
      </c>
      <c r="H318" s="2"/>
      <c r="I318" s="2"/>
      <c r="J318" s="7"/>
      <c r="K318" s="4"/>
      <c r="L318" s="12"/>
    </row>
    <row r="319" spans="1:14" x14ac:dyDescent="0.3">
      <c r="A319" s="1"/>
      <c r="B319" s="1"/>
      <c r="C319" s="1"/>
      <c r="D319" s="1"/>
      <c r="E319" s="1"/>
      <c r="F319" s="1"/>
      <c r="G319" s="9" t="s">
        <v>206</v>
      </c>
      <c r="H319" s="9" t="s">
        <v>119</v>
      </c>
      <c r="I319" s="9" t="s">
        <v>25</v>
      </c>
      <c r="J319" s="9" t="s">
        <v>1912</v>
      </c>
      <c r="K319" s="3" t="s">
        <v>207</v>
      </c>
      <c r="L319" s="13" t="s">
        <v>208</v>
      </c>
      <c r="M319" s="15">
        <f t="shared" si="11"/>
        <v>1.8414351851851807E-2</v>
      </c>
      <c r="N319">
        <f t="shared" si="12"/>
        <v>9</v>
      </c>
    </row>
    <row r="320" spans="1:14" x14ac:dyDescent="0.3">
      <c r="A320" s="1"/>
      <c r="B320" s="1"/>
      <c r="C320" s="1"/>
      <c r="D320" s="1"/>
      <c r="E320" s="1"/>
      <c r="F320" s="1"/>
      <c r="G320" s="9" t="s">
        <v>635</v>
      </c>
      <c r="H320" s="9" t="s">
        <v>119</v>
      </c>
      <c r="I320" s="9" t="s">
        <v>486</v>
      </c>
      <c r="J320" s="9" t="s">
        <v>1912</v>
      </c>
      <c r="K320" s="3" t="s">
        <v>636</v>
      </c>
      <c r="L320" s="13" t="s">
        <v>637</v>
      </c>
      <c r="M320" s="15">
        <f t="shared" si="11"/>
        <v>1.9050925925925888E-2</v>
      </c>
      <c r="N320">
        <f t="shared" si="12"/>
        <v>7</v>
      </c>
    </row>
    <row r="321" spans="1:14" x14ac:dyDescent="0.3">
      <c r="A321" s="1"/>
      <c r="B321" s="1"/>
      <c r="C321" s="1"/>
      <c r="D321" s="1"/>
      <c r="E321" s="1"/>
      <c r="F321" s="1"/>
      <c r="G321" s="9" t="s">
        <v>1049</v>
      </c>
      <c r="H321" s="9" t="s">
        <v>119</v>
      </c>
      <c r="I321" s="9" t="s">
        <v>926</v>
      </c>
      <c r="J321" s="9" t="s">
        <v>1912</v>
      </c>
      <c r="K321" s="3" t="s">
        <v>1050</v>
      </c>
      <c r="L321" s="13" t="s">
        <v>1051</v>
      </c>
      <c r="M321" s="15">
        <f t="shared" si="11"/>
        <v>2.4328703703703769E-2</v>
      </c>
      <c r="N321">
        <f t="shared" si="12"/>
        <v>9</v>
      </c>
    </row>
    <row r="322" spans="1:14" x14ac:dyDescent="0.3">
      <c r="A322" s="1"/>
      <c r="B322" s="1"/>
      <c r="C322" s="1"/>
      <c r="D322" s="1"/>
      <c r="E322" s="1"/>
      <c r="F322" s="1"/>
      <c r="G322" s="9" t="s">
        <v>1052</v>
      </c>
      <c r="H322" s="9" t="s">
        <v>119</v>
      </c>
      <c r="I322" s="9" t="s">
        <v>926</v>
      </c>
      <c r="J322" s="9" t="s">
        <v>1912</v>
      </c>
      <c r="K322" s="3" t="s">
        <v>1053</v>
      </c>
      <c r="L322" s="13" t="s">
        <v>1054</v>
      </c>
      <c r="M322" s="15">
        <f t="shared" si="11"/>
        <v>2.9467592592592684E-2</v>
      </c>
      <c r="N322">
        <f t="shared" si="12"/>
        <v>16</v>
      </c>
    </row>
    <row r="323" spans="1:14" x14ac:dyDescent="0.3">
      <c r="A323" s="1"/>
      <c r="B323" s="1"/>
      <c r="C323" s="1"/>
      <c r="D323" s="1"/>
      <c r="E323" s="1"/>
      <c r="F323" s="1"/>
      <c r="G323" s="9" t="s">
        <v>1055</v>
      </c>
      <c r="H323" s="9" t="s">
        <v>119</v>
      </c>
      <c r="I323" s="9" t="s">
        <v>926</v>
      </c>
      <c r="J323" s="9" t="s">
        <v>1912</v>
      </c>
      <c r="K323" s="3" t="s">
        <v>1056</v>
      </c>
      <c r="L323" s="13" t="s">
        <v>1057</v>
      </c>
      <c r="M323" s="15">
        <f t="shared" ref="M323:M386" si="13">L323-K323</f>
        <v>3.6817129629629686E-2</v>
      </c>
      <c r="N323">
        <f t="shared" ref="N323:N386" si="14">HOUR(K323)</f>
        <v>18</v>
      </c>
    </row>
    <row r="324" spans="1:14" x14ac:dyDescent="0.3">
      <c r="A324" s="1"/>
      <c r="B324" s="1"/>
      <c r="C324" s="1"/>
      <c r="D324" s="1"/>
      <c r="E324" s="1"/>
      <c r="F324" s="1"/>
      <c r="G324" s="9" t="s">
        <v>1462</v>
      </c>
      <c r="H324" s="9" t="s">
        <v>119</v>
      </c>
      <c r="I324" s="9" t="s">
        <v>1296</v>
      </c>
      <c r="J324" s="9" t="s">
        <v>1912</v>
      </c>
      <c r="K324" s="3" t="s">
        <v>1463</v>
      </c>
      <c r="L324" s="13" t="s">
        <v>1464</v>
      </c>
      <c r="M324" s="15">
        <f t="shared" si="13"/>
        <v>2.3449074074074094E-2</v>
      </c>
      <c r="N324">
        <f t="shared" si="14"/>
        <v>10</v>
      </c>
    </row>
    <row r="325" spans="1:14" x14ac:dyDescent="0.3">
      <c r="A325" s="1"/>
      <c r="B325" s="1"/>
      <c r="C325" s="1"/>
      <c r="D325" s="1"/>
      <c r="E325" s="1"/>
      <c r="F325" s="1"/>
      <c r="G325" s="9" t="s">
        <v>1465</v>
      </c>
      <c r="H325" s="9" t="s">
        <v>119</v>
      </c>
      <c r="I325" s="9" t="s">
        <v>1296</v>
      </c>
      <c r="J325" s="9" t="s">
        <v>1912</v>
      </c>
      <c r="K325" s="3" t="s">
        <v>1466</v>
      </c>
      <c r="L325" s="13" t="s">
        <v>1467</v>
      </c>
      <c r="M325" s="15">
        <f t="shared" si="13"/>
        <v>2.9930555555555571E-2</v>
      </c>
      <c r="N325">
        <f t="shared" si="14"/>
        <v>14</v>
      </c>
    </row>
    <row r="326" spans="1:14" x14ac:dyDescent="0.3">
      <c r="A326" s="1"/>
      <c r="B326" s="1"/>
      <c r="C326" s="1"/>
      <c r="D326" s="1"/>
      <c r="E326" s="1"/>
      <c r="F326" s="1"/>
      <c r="G326" s="9" t="s">
        <v>2113</v>
      </c>
      <c r="H326" s="9" t="s">
        <v>119</v>
      </c>
      <c r="I326" s="9" t="s">
        <v>1914</v>
      </c>
      <c r="J326" s="9" t="s">
        <v>1912</v>
      </c>
      <c r="K326" s="3" t="s">
        <v>2114</v>
      </c>
      <c r="L326" s="13" t="s">
        <v>2115</v>
      </c>
      <c r="M326" s="15">
        <f t="shared" si="13"/>
        <v>3.1967592592592631E-2</v>
      </c>
      <c r="N326">
        <f t="shared" si="14"/>
        <v>8</v>
      </c>
    </row>
    <row r="327" spans="1:14" x14ac:dyDescent="0.3">
      <c r="A327" s="1"/>
      <c r="B327" s="1"/>
      <c r="C327" s="1"/>
      <c r="D327" s="1"/>
      <c r="E327" s="1"/>
      <c r="F327" s="1"/>
      <c r="G327" s="9" t="s">
        <v>2116</v>
      </c>
      <c r="H327" s="9" t="s">
        <v>119</v>
      </c>
      <c r="I327" s="9" t="s">
        <v>1914</v>
      </c>
      <c r="J327" s="9" t="s">
        <v>1912</v>
      </c>
      <c r="K327" s="3" t="s">
        <v>2117</v>
      </c>
      <c r="L327" s="13" t="s">
        <v>2118</v>
      </c>
      <c r="M327" s="15">
        <f t="shared" si="13"/>
        <v>2.3263888888888917E-2</v>
      </c>
      <c r="N327">
        <f t="shared" si="14"/>
        <v>9</v>
      </c>
    </row>
    <row r="328" spans="1:14" x14ac:dyDescent="0.3">
      <c r="A328" s="1"/>
      <c r="B328" s="1"/>
      <c r="C328" s="1"/>
      <c r="D328" s="1"/>
      <c r="E328" s="1"/>
      <c r="F328" s="1"/>
      <c r="G328" s="9" t="s">
        <v>2119</v>
      </c>
      <c r="H328" s="9" t="s">
        <v>119</v>
      </c>
      <c r="I328" s="9" t="s">
        <v>1914</v>
      </c>
      <c r="J328" s="9" t="s">
        <v>1912</v>
      </c>
      <c r="K328" s="3" t="s">
        <v>2120</v>
      </c>
      <c r="L328" s="13" t="s">
        <v>2121</v>
      </c>
      <c r="M328" s="15">
        <f t="shared" si="13"/>
        <v>3.6493055555555598E-2</v>
      </c>
      <c r="N328">
        <f t="shared" si="14"/>
        <v>12</v>
      </c>
    </row>
    <row r="329" spans="1:14" x14ac:dyDescent="0.3">
      <c r="A329" s="1"/>
      <c r="B329" s="1"/>
      <c r="C329" s="9" t="s">
        <v>209</v>
      </c>
      <c r="D329" s="9" t="s">
        <v>210</v>
      </c>
      <c r="E329" s="9" t="s">
        <v>210</v>
      </c>
      <c r="F329" s="9" t="s">
        <v>22</v>
      </c>
      <c r="G329" s="11" t="s">
        <v>19</v>
      </c>
      <c r="H329" s="2"/>
      <c r="I329" s="2"/>
      <c r="J329" s="7"/>
      <c r="K329" s="4"/>
      <c r="L329" s="12"/>
    </row>
    <row r="330" spans="1:14" x14ac:dyDescent="0.3">
      <c r="A330" s="1"/>
      <c r="B330" s="1"/>
      <c r="C330" s="1"/>
      <c r="D330" s="1"/>
      <c r="E330" s="1"/>
      <c r="F330" s="1"/>
      <c r="G330" s="9" t="s">
        <v>211</v>
      </c>
      <c r="H330" s="9" t="s">
        <v>119</v>
      </c>
      <c r="I330" s="9" t="s">
        <v>25</v>
      </c>
      <c r="J330" s="9" t="s">
        <v>1912</v>
      </c>
      <c r="K330" s="3" t="s">
        <v>212</v>
      </c>
      <c r="L330" s="13" t="s">
        <v>213</v>
      </c>
      <c r="M330" s="15">
        <f t="shared" si="13"/>
        <v>2.285879629629628E-2</v>
      </c>
      <c r="N330">
        <f t="shared" si="14"/>
        <v>10</v>
      </c>
    </row>
    <row r="331" spans="1:14" x14ac:dyDescent="0.3">
      <c r="A331" s="1"/>
      <c r="B331" s="1"/>
      <c r="C331" s="1"/>
      <c r="D331" s="1"/>
      <c r="E331" s="1"/>
      <c r="F331" s="1"/>
      <c r="G331" s="9" t="s">
        <v>1058</v>
      </c>
      <c r="H331" s="9" t="s">
        <v>119</v>
      </c>
      <c r="I331" s="9" t="s">
        <v>926</v>
      </c>
      <c r="J331" s="9" t="s">
        <v>1912</v>
      </c>
      <c r="K331" s="3" t="s">
        <v>1059</v>
      </c>
      <c r="L331" s="13" t="s">
        <v>1060</v>
      </c>
      <c r="M331" s="15">
        <f t="shared" si="13"/>
        <v>2.8530092592592593E-2</v>
      </c>
      <c r="N331">
        <f t="shared" si="14"/>
        <v>11</v>
      </c>
    </row>
    <row r="332" spans="1:14" x14ac:dyDescent="0.3">
      <c r="A332" s="9" t="s">
        <v>214</v>
      </c>
      <c r="B332" s="9" t="s">
        <v>215</v>
      </c>
      <c r="C332" s="11" t="s">
        <v>19</v>
      </c>
      <c r="D332" s="2"/>
      <c r="E332" s="2"/>
      <c r="F332" s="2"/>
      <c r="G332" s="2"/>
      <c r="H332" s="2"/>
      <c r="I332" s="2"/>
      <c r="J332" s="7"/>
      <c r="K332" s="4"/>
      <c r="L332" s="12"/>
    </row>
    <row r="333" spans="1:14" x14ac:dyDescent="0.3">
      <c r="A333" s="1"/>
      <c r="B333" s="1"/>
      <c r="C333" s="9" t="s">
        <v>216</v>
      </c>
      <c r="D333" s="9" t="s">
        <v>217</v>
      </c>
      <c r="E333" s="9" t="s">
        <v>217</v>
      </c>
      <c r="F333" s="9" t="s">
        <v>22</v>
      </c>
      <c r="G333" s="11" t="s">
        <v>19</v>
      </c>
      <c r="H333" s="2"/>
      <c r="I333" s="2"/>
      <c r="J333" s="7"/>
      <c r="K333" s="4"/>
      <c r="L333" s="12"/>
    </row>
    <row r="334" spans="1:14" x14ac:dyDescent="0.3">
      <c r="A334" s="1"/>
      <c r="B334" s="1"/>
      <c r="C334" s="1"/>
      <c r="D334" s="1"/>
      <c r="E334" s="1"/>
      <c r="F334" s="1"/>
      <c r="G334" s="9" t="s">
        <v>218</v>
      </c>
      <c r="H334" s="9" t="s">
        <v>119</v>
      </c>
      <c r="I334" s="9" t="s">
        <v>25</v>
      </c>
      <c r="J334" s="9" t="s">
        <v>1912</v>
      </c>
      <c r="K334" s="3" t="s">
        <v>219</v>
      </c>
      <c r="L334" s="13" t="s">
        <v>220</v>
      </c>
      <c r="M334" s="15">
        <f t="shared" si="13"/>
        <v>1.9826388888888935E-2</v>
      </c>
      <c r="N334">
        <f t="shared" si="14"/>
        <v>5</v>
      </c>
    </row>
    <row r="335" spans="1:14" x14ac:dyDescent="0.3">
      <c r="A335" s="1"/>
      <c r="B335" s="1"/>
      <c r="C335" s="1"/>
      <c r="D335" s="1"/>
      <c r="E335" s="1"/>
      <c r="F335" s="1"/>
      <c r="G335" s="9" t="s">
        <v>221</v>
      </c>
      <c r="H335" s="9" t="s">
        <v>119</v>
      </c>
      <c r="I335" s="9" t="s">
        <v>25</v>
      </c>
      <c r="J335" s="9" t="s">
        <v>1912</v>
      </c>
      <c r="K335" s="3" t="s">
        <v>222</v>
      </c>
      <c r="L335" s="13" t="s">
        <v>223</v>
      </c>
      <c r="M335" s="15">
        <f t="shared" si="13"/>
        <v>4.2372685185185166E-2</v>
      </c>
      <c r="N335">
        <f t="shared" si="14"/>
        <v>11</v>
      </c>
    </row>
    <row r="336" spans="1:14" x14ac:dyDescent="0.3">
      <c r="A336" s="1"/>
      <c r="B336" s="1"/>
      <c r="C336" s="1"/>
      <c r="D336" s="1"/>
      <c r="E336" s="1"/>
      <c r="F336" s="1"/>
      <c r="G336" s="9" t="s">
        <v>224</v>
      </c>
      <c r="H336" s="9" t="s">
        <v>119</v>
      </c>
      <c r="I336" s="9" t="s">
        <v>25</v>
      </c>
      <c r="J336" s="9" t="s">
        <v>1912</v>
      </c>
      <c r="K336" s="3" t="s">
        <v>225</v>
      </c>
      <c r="L336" s="13" t="s">
        <v>226</v>
      </c>
      <c r="M336" s="15">
        <f t="shared" si="13"/>
        <v>4.2129629629629628E-2</v>
      </c>
      <c r="N336">
        <f t="shared" si="14"/>
        <v>14</v>
      </c>
    </row>
    <row r="337" spans="1:14" x14ac:dyDescent="0.3">
      <c r="A337" s="1"/>
      <c r="B337" s="1"/>
      <c r="C337" s="1"/>
      <c r="D337" s="1"/>
      <c r="E337" s="1"/>
      <c r="F337" s="1"/>
      <c r="G337" s="9" t="s">
        <v>638</v>
      </c>
      <c r="H337" s="9" t="s">
        <v>119</v>
      </c>
      <c r="I337" s="9" t="s">
        <v>486</v>
      </c>
      <c r="J337" s="9" t="s">
        <v>1912</v>
      </c>
      <c r="K337" s="3" t="s">
        <v>639</v>
      </c>
      <c r="L337" s="13" t="s">
        <v>640</v>
      </c>
      <c r="M337" s="15">
        <f t="shared" si="13"/>
        <v>1.938657407407407E-2</v>
      </c>
      <c r="N337">
        <f t="shared" si="14"/>
        <v>5</v>
      </c>
    </row>
    <row r="338" spans="1:14" x14ac:dyDescent="0.3">
      <c r="A338" s="1"/>
      <c r="B338" s="1"/>
      <c r="C338" s="1"/>
      <c r="D338" s="1"/>
      <c r="E338" s="1"/>
      <c r="F338" s="1"/>
      <c r="G338" s="9" t="s">
        <v>641</v>
      </c>
      <c r="H338" s="9" t="s">
        <v>119</v>
      </c>
      <c r="I338" s="9" t="s">
        <v>486</v>
      </c>
      <c r="J338" s="9" t="s">
        <v>1912</v>
      </c>
      <c r="K338" s="3" t="s">
        <v>642</v>
      </c>
      <c r="L338" s="13" t="s">
        <v>643</v>
      </c>
      <c r="M338" s="15">
        <f t="shared" si="13"/>
        <v>2.3576388888888855E-2</v>
      </c>
      <c r="N338">
        <f t="shared" si="14"/>
        <v>6</v>
      </c>
    </row>
    <row r="339" spans="1:14" x14ac:dyDescent="0.3">
      <c r="A339" s="1"/>
      <c r="B339" s="1"/>
      <c r="C339" s="1"/>
      <c r="D339" s="1"/>
      <c r="E339" s="1"/>
      <c r="F339" s="1"/>
      <c r="G339" s="9" t="s">
        <v>644</v>
      </c>
      <c r="H339" s="9" t="s">
        <v>119</v>
      </c>
      <c r="I339" s="9" t="s">
        <v>486</v>
      </c>
      <c r="J339" s="9" t="s">
        <v>1912</v>
      </c>
      <c r="K339" s="3" t="s">
        <v>645</v>
      </c>
      <c r="L339" s="13" t="s">
        <v>646</v>
      </c>
      <c r="M339" s="15">
        <f t="shared" si="13"/>
        <v>3.2025462962962992E-2</v>
      </c>
      <c r="N339">
        <f t="shared" si="14"/>
        <v>10</v>
      </c>
    </row>
    <row r="340" spans="1:14" x14ac:dyDescent="0.3">
      <c r="A340" s="1"/>
      <c r="B340" s="1"/>
      <c r="C340" s="1"/>
      <c r="D340" s="1"/>
      <c r="E340" s="1"/>
      <c r="F340" s="1"/>
      <c r="G340" s="9" t="s">
        <v>647</v>
      </c>
      <c r="H340" s="9" t="s">
        <v>119</v>
      </c>
      <c r="I340" s="9" t="s">
        <v>486</v>
      </c>
      <c r="J340" s="9" t="s">
        <v>1912</v>
      </c>
      <c r="K340" s="3" t="s">
        <v>648</v>
      </c>
      <c r="L340" s="13" t="s">
        <v>649</v>
      </c>
      <c r="M340" s="15">
        <f t="shared" si="13"/>
        <v>3.3402777777777781E-2</v>
      </c>
      <c r="N340">
        <f t="shared" si="14"/>
        <v>14</v>
      </c>
    </row>
    <row r="341" spans="1:14" x14ac:dyDescent="0.3">
      <c r="A341" s="1"/>
      <c r="B341" s="1"/>
      <c r="C341" s="1"/>
      <c r="D341" s="1"/>
      <c r="E341" s="1"/>
      <c r="F341" s="1"/>
      <c r="G341" s="9" t="s">
        <v>650</v>
      </c>
      <c r="H341" s="9" t="s">
        <v>119</v>
      </c>
      <c r="I341" s="9" t="s">
        <v>486</v>
      </c>
      <c r="J341" s="9" t="s">
        <v>1912</v>
      </c>
      <c r="K341" s="3" t="s">
        <v>651</v>
      </c>
      <c r="L341" s="13" t="s">
        <v>652</v>
      </c>
      <c r="M341" s="15">
        <f t="shared" si="13"/>
        <v>1.505787037037043E-2</v>
      </c>
      <c r="N341">
        <f t="shared" si="14"/>
        <v>17</v>
      </c>
    </row>
    <row r="342" spans="1:14" x14ac:dyDescent="0.3">
      <c r="A342" s="1"/>
      <c r="B342" s="1"/>
      <c r="C342" s="1"/>
      <c r="D342" s="1"/>
      <c r="E342" s="1"/>
      <c r="F342" s="1"/>
      <c r="G342" s="9" t="s">
        <v>653</v>
      </c>
      <c r="H342" s="9" t="s">
        <v>119</v>
      </c>
      <c r="I342" s="9" t="s">
        <v>486</v>
      </c>
      <c r="J342" s="9" t="s">
        <v>1912</v>
      </c>
      <c r="K342" s="3" t="s">
        <v>654</v>
      </c>
      <c r="L342" s="13" t="s">
        <v>655</v>
      </c>
      <c r="M342" s="15">
        <f t="shared" si="13"/>
        <v>1.7187500000000022E-2</v>
      </c>
      <c r="N342">
        <f t="shared" si="14"/>
        <v>17</v>
      </c>
    </row>
    <row r="343" spans="1:14" x14ac:dyDescent="0.3">
      <c r="A343" s="1"/>
      <c r="B343" s="1"/>
      <c r="C343" s="1"/>
      <c r="D343" s="1"/>
      <c r="E343" s="1"/>
      <c r="F343" s="1"/>
      <c r="G343" s="9" t="s">
        <v>1061</v>
      </c>
      <c r="H343" s="9" t="s">
        <v>119</v>
      </c>
      <c r="I343" s="9" t="s">
        <v>926</v>
      </c>
      <c r="J343" s="9" t="s">
        <v>1912</v>
      </c>
      <c r="K343" s="3" t="s">
        <v>1062</v>
      </c>
      <c r="L343" s="13" t="s">
        <v>1063</v>
      </c>
      <c r="M343" s="15">
        <f t="shared" si="13"/>
        <v>1.2407407407407423E-2</v>
      </c>
      <c r="N343">
        <f t="shared" si="14"/>
        <v>4</v>
      </c>
    </row>
    <row r="344" spans="1:14" x14ac:dyDescent="0.3">
      <c r="A344" s="1"/>
      <c r="B344" s="1"/>
      <c r="C344" s="1"/>
      <c r="D344" s="1"/>
      <c r="E344" s="1"/>
      <c r="F344" s="1"/>
      <c r="G344" s="9" t="s">
        <v>1064</v>
      </c>
      <c r="H344" s="9" t="s">
        <v>119</v>
      </c>
      <c r="I344" s="9" t="s">
        <v>926</v>
      </c>
      <c r="J344" s="9" t="s">
        <v>1912</v>
      </c>
      <c r="K344" s="3" t="s">
        <v>1065</v>
      </c>
      <c r="L344" s="13" t="s">
        <v>1066</v>
      </c>
      <c r="M344" s="15">
        <f t="shared" si="13"/>
        <v>2.8171296296296278E-2</v>
      </c>
      <c r="N344">
        <f t="shared" si="14"/>
        <v>7</v>
      </c>
    </row>
    <row r="345" spans="1:14" x14ac:dyDescent="0.3">
      <c r="A345" s="1"/>
      <c r="B345" s="1"/>
      <c r="C345" s="1"/>
      <c r="D345" s="1"/>
      <c r="E345" s="1"/>
      <c r="F345" s="1"/>
      <c r="G345" s="9" t="s">
        <v>1067</v>
      </c>
      <c r="H345" s="9" t="s">
        <v>119</v>
      </c>
      <c r="I345" s="9" t="s">
        <v>926</v>
      </c>
      <c r="J345" s="9" t="s">
        <v>1912</v>
      </c>
      <c r="K345" s="3" t="s">
        <v>1068</v>
      </c>
      <c r="L345" s="13" t="s">
        <v>1069</v>
      </c>
      <c r="M345" s="15">
        <f t="shared" si="13"/>
        <v>2.718749999999992E-2</v>
      </c>
      <c r="N345">
        <f t="shared" si="14"/>
        <v>14</v>
      </c>
    </row>
    <row r="346" spans="1:14" x14ac:dyDescent="0.3">
      <c r="A346" s="1"/>
      <c r="B346" s="1"/>
      <c r="C346" s="1"/>
      <c r="D346" s="1"/>
      <c r="E346" s="1"/>
      <c r="F346" s="1"/>
      <c r="G346" s="9" t="s">
        <v>1070</v>
      </c>
      <c r="H346" s="9" t="s">
        <v>119</v>
      </c>
      <c r="I346" s="9" t="s">
        <v>926</v>
      </c>
      <c r="J346" s="9" t="s">
        <v>1912</v>
      </c>
      <c r="K346" s="3" t="s">
        <v>1071</v>
      </c>
      <c r="L346" s="13" t="s">
        <v>1072</v>
      </c>
      <c r="M346" s="15">
        <f t="shared" si="13"/>
        <v>2.1030092592592697E-2</v>
      </c>
      <c r="N346">
        <f t="shared" si="14"/>
        <v>17</v>
      </c>
    </row>
    <row r="347" spans="1:14" x14ac:dyDescent="0.3">
      <c r="A347" s="1"/>
      <c r="B347" s="1"/>
      <c r="C347" s="1"/>
      <c r="D347" s="1"/>
      <c r="E347" s="1"/>
      <c r="F347" s="1"/>
      <c r="G347" s="9" t="s">
        <v>1468</v>
      </c>
      <c r="H347" s="9" t="s">
        <v>119</v>
      </c>
      <c r="I347" s="9" t="s">
        <v>1296</v>
      </c>
      <c r="J347" s="9" t="s">
        <v>1912</v>
      </c>
      <c r="K347" s="3" t="s">
        <v>1469</v>
      </c>
      <c r="L347" s="13" t="s">
        <v>1470</v>
      </c>
      <c r="M347" s="15">
        <f t="shared" si="13"/>
        <v>1.1979166666666652E-2</v>
      </c>
      <c r="N347">
        <f t="shared" si="14"/>
        <v>5</v>
      </c>
    </row>
    <row r="348" spans="1:14" x14ac:dyDescent="0.3">
      <c r="A348" s="1"/>
      <c r="B348" s="1"/>
      <c r="C348" s="1"/>
      <c r="D348" s="1"/>
      <c r="E348" s="1"/>
      <c r="F348" s="1"/>
      <c r="G348" s="9" t="s">
        <v>1471</v>
      </c>
      <c r="H348" s="9" t="s">
        <v>119</v>
      </c>
      <c r="I348" s="9" t="s">
        <v>1296</v>
      </c>
      <c r="J348" s="9" t="s">
        <v>1912</v>
      </c>
      <c r="K348" s="3" t="s">
        <v>1472</v>
      </c>
      <c r="L348" s="13" t="s">
        <v>1473</v>
      </c>
      <c r="M348" s="15">
        <f t="shared" si="13"/>
        <v>2.6157407407407407E-2</v>
      </c>
      <c r="N348">
        <f t="shared" si="14"/>
        <v>6</v>
      </c>
    </row>
    <row r="349" spans="1:14" x14ac:dyDescent="0.3">
      <c r="A349" s="1"/>
      <c r="B349" s="1"/>
      <c r="C349" s="1"/>
      <c r="D349" s="1"/>
      <c r="E349" s="1"/>
      <c r="F349" s="1"/>
      <c r="G349" s="9" t="s">
        <v>1474</v>
      </c>
      <c r="H349" s="9" t="s">
        <v>119</v>
      </c>
      <c r="I349" s="9" t="s">
        <v>1296</v>
      </c>
      <c r="J349" s="9" t="s">
        <v>1912</v>
      </c>
      <c r="K349" s="3" t="s">
        <v>1475</v>
      </c>
      <c r="L349" s="13" t="s">
        <v>1476</v>
      </c>
      <c r="M349" s="15">
        <f t="shared" si="13"/>
        <v>1.71412037037037E-2</v>
      </c>
      <c r="N349">
        <f t="shared" si="14"/>
        <v>7</v>
      </c>
    </row>
    <row r="350" spans="1:14" x14ac:dyDescent="0.3">
      <c r="A350" s="1"/>
      <c r="B350" s="1"/>
      <c r="C350" s="1"/>
      <c r="D350" s="1"/>
      <c r="E350" s="1"/>
      <c r="F350" s="1"/>
      <c r="G350" s="9" t="s">
        <v>1477</v>
      </c>
      <c r="H350" s="9" t="s">
        <v>119</v>
      </c>
      <c r="I350" s="9" t="s">
        <v>1296</v>
      </c>
      <c r="J350" s="9" t="s">
        <v>1912</v>
      </c>
      <c r="K350" s="3" t="s">
        <v>1478</v>
      </c>
      <c r="L350" s="13" t="s">
        <v>1479</v>
      </c>
      <c r="M350" s="15">
        <f t="shared" si="13"/>
        <v>2.6342592592592529E-2</v>
      </c>
      <c r="N350">
        <f t="shared" si="14"/>
        <v>9</v>
      </c>
    </row>
    <row r="351" spans="1:14" x14ac:dyDescent="0.3">
      <c r="A351" s="1"/>
      <c r="B351" s="1"/>
      <c r="C351" s="1"/>
      <c r="D351" s="1"/>
      <c r="E351" s="1"/>
      <c r="F351" s="1"/>
      <c r="G351" s="9" t="s">
        <v>1480</v>
      </c>
      <c r="H351" s="9" t="s">
        <v>119</v>
      </c>
      <c r="I351" s="9" t="s">
        <v>1296</v>
      </c>
      <c r="J351" s="9" t="s">
        <v>1912</v>
      </c>
      <c r="K351" s="3" t="s">
        <v>1481</v>
      </c>
      <c r="L351" s="13" t="s">
        <v>1482</v>
      </c>
      <c r="M351" s="15">
        <f t="shared" si="13"/>
        <v>1.6678240740740757E-2</v>
      </c>
      <c r="N351">
        <f t="shared" si="14"/>
        <v>13</v>
      </c>
    </row>
    <row r="352" spans="1:14" x14ac:dyDescent="0.3">
      <c r="A352" s="1"/>
      <c r="B352" s="1"/>
      <c r="C352" s="1"/>
      <c r="D352" s="1"/>
      <c r="E352" s="1"/>
      <c r="F352" s="1"/>
      <c r="G352" s="9" t="s">
        <v>1483</v>
      </c>
      <c r="H352" s="9" t="s">
        <v>119</v>
      </c>
      <c r="I352" s="9" t="s">
        <v>1296</v>
      </c>
      <c r="J352" s="9" t="s">
        <v>1912</v>
      </c>
      <c r="K352" s="3" t="s">
        <v>1484</v>
      </c>
      <c r="L352" s="13" t="s">
        <v>1485</v>
      </c>
      <c r="M352" s="15">
        <f t="shared" si="13"/>
        <v>1.3020833333333259E-2</v>
      </c>
      <c r="N352">
        <f t="shared" si="14"/>
        <v>14</v>
      </c>
    </row>
    <row r="353" spans="1:14" x14ac:dyDescent="0.3">
      <c r="A353" s="1"/>
      <c r="B353" s="1"/>
      <c r="C353" s="1"/>
      <c r="D353" s="1"/>
      <c r="E353" s="1"/>
      <c r="F353" s="1"/>
      <c r="G353" s="9" t="s">
        <v>1486</v>
      </c>
      <c r="H353" s="9" t="s">
        <v>119</v>
      </c>
      <c r="I353" s="9" t="s">
        <v>1296</v>
      </c>
      <c r="J353" s="9" t="s">
        <v>1912</v>
      </c>
      <c r="K353" s="3" t="s">
        <v>1487</v>
      </c>
      <c r="L353" s="13" t="s">
        <v>1488</v>
      </c>
      <c r="M353" s="15">
        <f t="shared" si="13"/>
        <v>1.9942129629629601E-2</v>
      </c>
      <c r="N353">
        <f t="shared" si="14"/>
        <v>16</v>
      </c>
    </row>
    <row r="354" spans="1:14" x14ac:dyDescent="0.3">
      <c r="A354" s="1"/>
      <c r="B354" s="1"/>
      <c r="C354" s="1"/>
      <c r="D354" s="1"/>
      <c r="E354" s="1"/>
      <c r="F354" s="1"/>
      <c r="G354" s="9" t="s">
        <v>1489</v>
      </c>
      <c r="H354" s="9" t="s">
        <v>119</v>
      </c>
      <c r="I354" s="9" t="s">
        <v>1296</v>
      </c>
      <c r="J354" s="9" t="s">
        <v>1912</v>
      </c>
      <c r="K354" s="3" t="s">
        <v>1490</v>
      </c>
      <c r="L354" s="13" t="s">
        <v>1491</v>
      </c>
      <c r="M354" s="15">
        <f t="shared" si="13"/>
        <v>9.8842592592592871E-3</v>
      </c>
      <c r="N354">
        <f t="shared" si="14"/>
        <v>17</v>
      </c>
    </row>
    <row r="355" spans="1:14" x14ac:dyDescent="0.3">
      <c r="A355" s="1"/>
      <c r="B355" s="1"/>
      <c r="C355" s="1"/>
      <c r="D355" s="1"/>
      <c r="E355" s="1"/>
      <c r="F355" s="1"/>
      <c r="G355" s="9" t="s">
        <v>2122</v>
      </c>
      <c r="H355" s="9" t="s">
        <v>119</v>
      </c>
      <c r="I355" s="9" t="s">
        <v>1914</v>
      </c>
      <c r="J355" s="9" t="s">
        <v>1912</v>
      </c>
      <c r="K355" s="3" t="s">
        <v>2123</v>
      </c>
      <c r="L355" s="13" t="s">
        <v>2124</v>
      </c>
      <c r="M355" s="15">
        <f t="shared" si="13"/>
        <v>1.2881944444444404E-2</v>
      </c>
      <c r="N355">
        <f t="shared" si="14"/>
        <v>5</v>
      </c>
    </row>
    <row r="356" spans="1:14" x14ac:dyDescent="0.3">
      <c r="A356" s="1"/>
      <c r="B356" s="1"/>
      <c r="C356" s="1"/>
      <c r="D356" s="1"/>
      <c r="E356" s="1"/>
      <c r="F356" s="1"/>
      <c r="G356" s="9" t="s">
        <v>2125</v>
      </c>
      <c r="H356" s="9" t="s">
        <v>119</v>
      </c>
      <c r="I356" s="9" t="s">
        <v>1914</v>
      </c>
      <c r="J356" s="9" t="s">
        <v>1912</v>
      </c>
      <c r="K356" s="3" t="s">
        <v>2126</v>
      </c>
      <c r="L356" s="13" t="s">
        <v>2127</v>
      </c>
      <c r="M356" s="15">
        <f t="shared" si="13"/>
        <v>3.0555555555555586E-2</v>
      </c>
      <c r="N356">
        <f t="shared" si="14"/>
        <v>5</v>
      </c>
    </row>
    <row r="357" spans="1:14" x14ac:dyDescent="0.3">
      <c r="A357" s="1"/>
      <c r="B357" s="1"/>
      <c r="C357" s="1"/>
      <c r="D357" s="1"/>
      <c r="E357" s="1"/>
      <c r="F357" s="1"/>
      <c r="G357" s="9" t="s">
        <v>2128</v>
      </c>
      <c r="H357" s="9" t="s">
        <v>119</v>
      </c>
      <c r="I357" s="9" t="s">
        <v>1914</v>
      </c>
      <c r="J357" s="9" t="s">
        <v>1912</v>
      </c>
      <c r="K357" s="3" t="s">
        <v>2129</v>
      </c>
      <c r="L357" s="13" t="s">
        <v>2130</v>
      </c>
      <c r="M357" s="15">
        <f t="shared" si="13"/>
        <v>1.6331018518518536E-2</v>
      </c>
      <c r="N357">
        <f t="shared" si="14"/>
        <v>6</v>
      </c>
    </row>
    <row r="358" spans="1:14" x14ac:dyDescent="0.3">
      <c r="A358" s="1"/>
      <c r="B358" s="1"/>
      <c r="C358" s="1"/>
      <c r="D358" s="1"/>
      <c r="E358" s="1"/>
      <c r="F358" s="1"/>
      <c r="G358" s="9" t="s">
        <v>2131</v>
      </c>
      <c r="H358" s="9" t="s">
        <v>119</v>
      </c>
      <c r="I358" s="9" t="s">
        <v>1914</v>
      </c>
      <c r="J358" s="9" t="s">
        <v>1912</v>
      </c>
      <c r="K358" s="3" t="s">
        <v>2132</v>
      </c>
      <c r="L358" s="13" t="s">
        <v>2133</v>
      </c>
      <c r="M358" s="15">
        <f t="shared" si="13"/>
        <v>3.1134259259259223E-2</v>
      </c>
      <c r="N358">
        <f t="shared" si="14"/>
        <v>10</v>
      </c>
    </row>
    <row r="359" spans="1:14" x14ac:dyDescent="0.3">
      <c r="A359" s="1"/>
      <c r="B359" s="1"/>
      <c r="C359" s="1"/>
      <c r="D359" s="1"/>
      <c r="E359" s="1"/>
      <c r="F359" s="1"/>
      <c r="G359" s="9" t="s">
        <v>2134</v>
      </c>
      <c r="H359" s="9" t="s">
        <v>119</v>
      </c>
      <c r="I359" s="9" t="s">
        <v>1914</v>
      </c>
      <c r="J359" s="9" t="s">
        <v>1912</v>
      </c>
      <c r="K359" s="3" t="s">
        <v>2135</v>
      </c>
      <c r="L359" s="13" t="s">
        <v>2136</v>
      </c>
      <c r="M359" s="15">
        <f t="shared" si="13"/>
        <v>2.3460648148148078E-2</v>
      </c>
      <c r="N359">
        <f t="shared" si="14"/>
        <v>13</v>
      </c>
    </row>
    <row r="360" spans="1:14" x14ac:dyDescent="0.3">
      <c r="A360" s="1"/>
      <c r="B360" s="1"/>
      <c r="C360" s="1"/>
      <c r="D360" s="1"/>
      <c r="E360" s="1"/>
      <c r="F360" s="1"/>
      <c r="G360" s="9" t="s">
        <v>2137</v>
      </c>
      <c r="H360" s="9" t="s">
        <v>119</v>
      </c>
      <c r="I360" s="9" t="s">
        <v>1914</v>
      </c>
      <c r="J360" s="9" t="s">
        <v>1912</v>
      </c>
      <c r="K360" s="3" t="s">
        <v>2138</v>
      </c>
      <c r="L360" s="13" t="s">
        <v>2139</v>
      </c>
      <c r="M360" s="15">
        <f t="shared" si="13"/>
        <v>2.0648148148148193E-2</v>
      </c>
      <c r="N360">
        <f t="shared" si="14"/>
        <v>14</v>
      </c>
    </row>
    <row r="361" spans="1:14" x14ac:dyDescent="0.3">
      <c r="A361" s="1"/>
      <c r="B361" s="1"/>
      <c r="C361" s="9" t="s">
        <v>116</v>
      </c>
      <c r="D361" s="9" t="s">
        <v>117</v>
      </c>
      <c r="E361" s="9" t="s">
        <v>117</v>
      </c>
      <c r="F361" s="9" t="s">
        <v>22</v>
      </c>
      <c r="G361" s="11" t="s">
        <v>19</v>
      </c>
      <c r="H361" s="2"/>
      <c r="I361" s="2"/>
      <c r="J361" s="7"/>
      <c r="K361" s="4"/>
      <c r="L361" s="12"/>
    </row>
    <row r="362" spans="1:14" x14ac:dyDescent="0.3">
      <c r="A362" s="1"/>
      <c r="B362" s="1"/>
      <c r="C362" s="1"/>
      <c r="D362" s="1"/>
      <c r="E362" s="1"/>
      <c r="F362" s="1"/>
      <c r="G362" s="9" t="s">
        <v>227</v>
      </c>
      <c r="H362" s="9" t="s">
        <v>119</v>
      </c>
      <c r="I362" s="9" t="s">
        <v>25</v>
      </c>
      <c r="J362" s="9" t="s">
        <v>1912</v>
      </c>
      <c r="K362" s="3" t="s">
        <v>228</v>
      </c>
      <c r="L362" s="13" t="s">
        <v>229</v>
      </c>
      <c r="M362" s="15">
        <f t="shared" si="13"/>
        <v>1.1400462962962959E-2</v>
      </c>
      <c r="N362">
        <f t="shared" si="14"/>
        <v>4</v>
      </c>
    </row>
    <row r="363" spans="1:14" x14ac:dyDescent="0.3">
      <c r="A363" s="1"/>
      <c r="B363" s="1"/>
      <c r="C363" s="1"/>
      <c r="D363" s="1"/>
      <c r="E363" s="1"/>
      <c r="F363" s="1"/>
      <c r="G363" s="9" t="s">
        <v>230</v>
      </c>
      <c r="H363" s="9" t="s">
        <v>119</v>
      </c>
      <c r="I363" s="9" t="s">
        <v>25</v>
      </c>
      <c r="J363" s="9" t="s">
        <v>1912</v>
      </c>
      <c r="K363" s="3" t="s">
        <v>231</v>
      </c>
      <c r="L363" s="13" t="s">
        <v>232</v>
      </c>
      <c r="M363" s="15">
        <f t="shared" si="13"/>
        <v>1.3483796296296313E-2</v>
      </c>
      <c r="N363">
        <f t="shared" si="14"/>
        <v>7</v>
      </c>
    </row>
    <row r="364" spans="1:14" x14ac:dyDescent="0.3">
      <c r="A364" s="1"/>
      <c r="B364" s="1"/>
      <c r="C364" s="1"/>
      <c r="D364" s="1"/>
      <c r="E364" s="1"/>
      <c r="F364" s="1"/>
      <c r="G364" s="9" t="s">
        <v>233</v>
      </c>
      <c r="H364" s="9" t="s">
        <v>119</v>
      </c>
      <c r="I364" s="9" t="s">
        <v>25</v>
      </c>
      <c r="J364" s="9" t="s">
        <v>1912</v>
      </c>
      <c r="K364" s="3" t="s">
        <v>234</v>
      </c>
      <c r="L364" s="13" t="s">
        <v>235</v>
      </c>
      <c r="M364" s="15">
        <f t="shared" si="13"/>
        <v>1.2430555555555556E-2</v>
      </c>
      <c r="N364">
        <f t="shared" si="14"/>
        <v>7</v>
      </c>
    </row>
    <row r="365" spans="1:14" x14ac:dyDescent="0.3">
      <c r="A365" s="1"/>
      <c r="B365" s="1"/>
      <c r="C365" s="1"/>
      <c r="D365" s="1"/>
      <c r="E365" s="1"/>
      <c r="F365" s="1"/>
      <c r="G365" s="9" t="s">
        <v>236</v>
      </c>
      <c r="H365" s="9" t="s">
        <v>119</v>
      </c>
      <c r="I365" s="9" t="s">
        <v>25</v>
      </c>
      <c r="J365" s="9" t="s">
        <v>1912</v>
      </c>
      <c r="K365" s="3" t="s">
        <v>237</v>
      </c>
      <c r="L365" s="13" t="s">
        <v>238</v>
      </c>
      <c r="M365" s="15">
        <f t="shared" si="13"/>
        <v>1.2986111111111087E-2</v>
      </c>
      <c r="N365">
        <f t="shared" si="14"/>
        <v>9</v>
      </c>
    </row>
    <row r="366" spans="1:14" x14ac:dyDescent="0.3">
      <c r="A366" s="1"/>
      <c r="B366" s="1"/>
      <c r="C366" s="1"/>
      <c r="D366" s="1"/>
      <c r="E366" s="1"/>
      <c r="F366" s="1"/>
      <c r="G366" s="9" t="s">
        <v>239</v>
      </c>
      <c r="H366" s="9" t="s">
        <v>119</v>
      </c>
      <c r="I366" s="9" t="s">
        <v>25</v>
      </c>
      <c r="J366" s="9" t="s">
        <v>1912</v>
      </c>
      <c r="K366" s="3" t="s">
        <v>240</v>
      </c>
      <c r="L366" s="13" t="s">
        <v>241</v>
      </c>
      <c r="M366" s="15">
        <f t="shared" si="13"/>
        <v>1.4166666666666661E-2</v>
      </c>
      <c r="N366">
        <f t="shared" si="14"/>
        <v>9</v>
      </c>
    </row>
    <row r="367" spans="1:14" x14ac:dyDescent="0.3">
      <c r="A367" s="1"/>
      <c r="B367" s="1"/>
      <c r="C367" s="1"/>
      <c r="D367" s="1"/>
      <c r="E367" s="1"/>
      <c r="F367" s="1"/>
      <c r="G367" s="9" t="s">
        <v>242</v>
      </c>
      <c r="H367" s="9" t="s">
        <v>119</v>
      </c>
      <c r="I367" s="9" t="s">
        <v>25</v>
      </c>
      <c r="J367" s="9" t="s">
        <v>1912</v>
      </c>
      <c r="K367" s="3" t="s">
        <v>243</v>
      </c>
      <c r="L367" s="13" t="s">
        <v>244</v>
      </c>
      <c r="M367" s="15">
        <f t="shared" si="13"/>
        <v>1.4456018518518521E-2</v>
      </c>
      <c r="N367">
        <f t="shared" si="14"/>
        <v>12</v>
      </c>
    </row>
    <row r="368" spans="1:14" x14ac:dyDescent="0.3">
      <c r="A368" s="1"/>
      <c r="B368" s="1"/>
      <c r="C368" s="1"/>
      <c r="D368" s="1"/>
      <c r="E368" s="1"/>
      <c r="F368" s="1"/>
      <c r="G368" s="9" t="s">
        <v>245</v>
      </c>
      <c r="H368" s="9" t="s">
        <v>119</v>
      </c>
      <c r="I368" s="9" t="s">
        <v>25</v>
      </c>
      <c r="J368" s="9" t="s">
        <v>1912</v>
      </c>
      <c r="K368" s="3" t="s">
        <v>246</v>
      </c>
      <c r="L368" s="13" t="s">
        <v>247</v>
      </c>
      <c r="M368" s="15">
        <f t="shared" si="13"/>
        <v>1.9178240740740704E-2</v>
      </c>
      <c r="N368">
        <f t="shared" si="14"/>
        <v>15</v>
      </c>
    </row>
    <row r="369" spans="1:14" x14ac:dyDescent="0.3">
      <c r="A369" s="1"/>
      <c r="B369" s="1"/>
      <c r="C369" s="1"/>
      <c r="D369" s="1"/>
      <c r="E369" s="1"/>
      <c r="F369" s="1"/>
      <c r="G369" s="9" t="s">
        <v>248</v>
      </c>
      <c r="H369" s="9" t="s">
        <v>119</v>
      </c>
      <c r="I369" s="9" t="s">
        <v>25</v>
      </c>
      <c r="J369" s="9" t="s">
        <v>1912</v>
      </c>
      <c r="K369" s="3" t="s">
        <v>249</v>
      </c>
      <c r="L369" s="13" t="s">
        <v>250</v>
      </c>
      <c r="M369" s="15">
        <f t="shared" si="13"/>
        <v>1.2673611111110983E-2</v>
      </c>
      <c r="N369">
        <f t="shared" si="14"/>
        <v>18</v>
      </c>
    </row>
    <row r="370" spans="1:14" x14ac:dyDescent="0.3">
      <c r="A370" s="1"/>
      <c r="B370" s="1"/>
      <c r="C370" s="1"/>
      <c r="D370" s="1"/>
      <c r="E370" s="1"/>
      <c r="F370" s="1"/>
      <c r="G370" s="9" t="s">
        <v>251</v>
      </c>
      <c r="H370" s="9" t="s">
        <v>119</v>
      </c>
      <c r="I370" s="9" t="s">
        <v>25</v>
      </c>
      <c r="J370" s="9" t="s">
        <v>1912</v>
      </c>
      <c r="K370" s="3" t="s">
        <v>252</v>
      </c>
      <c r="L370" s="13" t="s">
        <v>253</v>
      </c>
      <c r="M370" s="15">
        <f t="shared" si="13"/>
        <v>1.1782407407407325E-2</v>
      </c>
      <c r="N370">
        <f t="shared" si="14"/>
        <v>20</v>
      </c>
    </row>
    <row r="371" spans="1:14" x14ac:dyDescent="0.3">
      <c r="A371" s="1"/>
      <c r="B371" s="1"/>
      <c r="C371" s="1"/>
      <c r="D371" s="1"/>
      <c r="E371" s="1"/>
      <c r="F371" s="1"/>
      <c r="G371" s="9" t="s">
        <v>656</v>
      </c>
      <c r="H371" s="9" t="s">
        <v>119</v>
      </c>
      <c r="I371" s="9" t="s">
        <v>486</v>
      </c>
      <c r="J371" s="9" t="s">
        <v>1912</v>
      </c>
      <c r="K371" s="3" t="s">
        <v>657</v>
      </c>
      <c r="L371" s="13" t="s">
        <v>658</v>
      </c>
      <c r="M371" s="15">
        <f t="shared" si="13"/>
        <v>1.5775462962962949E-2</v>
      </c>
      <c r="N371">
        <f t="shared" si="14"/>
        <v>4</v>
      </c>
    </row>
    <row r="372" spans="1:14" x14ac:dyDescent="0.3">
      <c r="A372" s="1"/>
      <c r="B372" s="1"/>
      <c r="C372" s="1"/>
      <c r="D372" s="1"/>
      <c r="E372" s="1"/>
      <c r="F372" s="1"/>
      <c r="G372" s="9" t="s">
        <v>659</v>
      </c>
      <c r="H372" s="9" t="s">
        <v>119</v>
      </c>
      <c r="I372" s="9" t="s">
        <v>486</v>
      </c>
      <c r="J372" s="9" t="s">
        <v>1912</v>
      </c>
      <c r="K372" s="3" t="s">
        <v>660</v>
      </c>
      <c r="L372" s="13" t="s">
        <v>661</v>
      </c>
      <c r="M372" s="15">
        <f t="shared" si="13"/>
        <v>1.3912037037037028E-2</v>
      </c>
      <c r="N372">
        <f t="shared" si="14"/>
        <v>7</v>
      </c>
    </row>
    <row r="373" spans="1:14" x14ac:dyDescent="0.3">
      <c r="A373" s="1"/>
      <c r="B373" s="1"/>
      <c r="C373" s="1"/>
      <c r="D373" s="1"/>
      <c r="E373" s="1"/>
      <c r="F373" s="1"/>
      <c r="G373" s="9" t="s">
        <v>662</v>
      </c>
      <c r="H373" s="9" t="s">
        <v>119</v>
      </c>
      <c r="I373" s="9" t="s">
        <v>486</v>
      </c>
      <c r="J373" s="9" t="s">
        <v>1912</v>
      </c>
      <c r="K373" s="3" t="s">
        <v>663</v>
      </c>
      <c r="L373" s="13" t="s">
        <v>664</v>
      </c>
      <c r="M373" s="15">
        <f t="shared" si="13"/>
        <v>1.4942129629629652E-2</v>
      </c>
      <c r="N373">
        <f t="shared" si="14"/>
        <v>7</v>
      </c>
    </row>
    <row r="374" spans="1:14" x14ac:dyDescent="0.3">
      <c r="A374" s="1"/>
      <c r="B374" s="1"/>
      <c r="C374" s="1"/>
      <c r="D374" s="1"/>
      <c r="E374" s="1"/>
      <c r="F374" s="1"/>
      <c r="G374" s="9" t="s">
        <v>665</v>
      </c>
      <c r="H374" s="9" t="s">
        <v>119</v>
      </c>
      <c r="I374" s="9" t="s">
        <v>486</v>
      </c>
      <c r="J374" s="9" t="s">
        <v>1912</v>
      </c>
      <c r="K374" s="3" t="s">
        <v>143</v>
      </c>
      <c r="L374" s="13" t="s">
        <v>666</v>
      </c>
      <c r="M374" s="15">
        <f t="shared" si="13"/>
        <v>1.3993055555555578E-2</v>
      </c>
      <c r="N374">
        <f t="shared" si="14"/>
        <v>9</v>
      </c>
    </row>
    <row r="375" spans="1:14" x14ac:dyDescent="0.3">
      <c r="A375" s="1"/>
      <c r="B375" s="1"/>
      <c r="C375" s="1"/>
      <c r="D375" s="1"/>
      <c r="E375" s="1"/>
      <c r="F375" s="1"/>
      <c r="G375" s="9" t="s">
        <v>667</v>
      </c>
      <c r="H375" s="9" t="s">
        <v>119</v>
      </c>
      <c r="I375" s="9" t="s">
        <v>486</v>
      </c>
      <c r="J375" s="9" t="s">
        <v>1912</v>
      </c>
      <c r="K375" s="3" t="s">
        <v>668</v>
      </c>
      <c r="L375" s="13" t="s">
        <v>669</v>
      </c>
      <c r="M375" s="15">
        <f t="shared" si="13"/>
        <v>1.7638888888888871E-2</v>
      </c>
      <c r="N375">
        <f t="shared" si="14"/>
        <v>12</v>
      </c>
    </row>
    <row r="376" spans="1:14" x14ac:dyDescent="0.3">
      <c r="A376" s="1"/>
      <c r="B376" s="1"/>
      <c r="C376" s="1"/>
      <c r="D376" s="1"/>
      <c r="E376" s="1"/>
      <c r="F376" s="1"/>
      <c r="G376" s="9" t="s">
        <v>670</v>
      </c>
      <c r="H376" s="9" t="s">
        <v>119</v>
      </c>
      <c r="I376" s="9" t="s">
        <v>486</v>
      </c>
      <c r="J376" s="9" t="s">
        <v>1912</v>
      </c>
      <c r="K376" s="3" t="s">
        <v>671</v>
      </c>
      <c r="L376" s="13" t="s">
        <v>672</v>
      </c>
      <c r="M376" s="15">
        <f t="shared" si="13"/>
        <v>1.3263888888888853E-2</v>
      </c>
      <c r="N376">
        <f t="shared" si="14"/>
        <v>15</v>
      </c>
    </row>
    <row r="377" spans="1:14" x14ac:dyDescent="0.3">
      <c r="A377" s="1"/>
      <c r="B377" s="1"/>
      <c r="C377" s="1"/>
      <c r="D377" s="1"/>
      <c r="E377" s="1"/>
      <c r="F377" s="1"/>
      <c r="G377" s="9" t="s">
        <v>673</v>
      </c>
      <c r="H377" s="9" t="s">
        <v>119</v>
      </c>
      <c r="I377" s="9" t="s">
        <v>486</v>
      </c>
      <c r="J377" s="9" t="s">
        <v>1912</v>
      </c>
      <c r="K377" s="3" t="s">
        <v>674</v>
      </c>
      <c r="L377" s="13" t="s">
        <v>675</v>
      </c>
      <c r="M377" s="15">
        <f t="shared" si="13"/>
        <v>1.3425925925925952E-2</v>
      </c>
      <c r="N377">
        <f t="shared" si="14"/>
        <v>18</v>
      </c>
    </row>
    <row r="378" spans="1:14" x14ac:dyDescent="0.3">
      <c r="A378" s="1"/>
      <c r="B378" s="1"/>
      <c r="C378" s="1"/>
      <c r="D378" s="1"/>
      <c r="E378" s="1"/>
      <c r="F378" s="1"/>
      <c r="G378" s="9" t="s">
        <v>676</v>
      </c>
      <c r="H378" s="9" t="s">
        <v>119</v>
      </c>
      <c r="I378" s="9" t="s">
        <v>486</v>
      </c>
      <c r="J378" s="9" t="s">
        <v>1912</v>
      </c>
      <c r="K378" s="3" t="s">
        <v>677</v>
      </c>
      <c r="L378" s="13" t="s">
        <v>678</v>
      </c>
      <c r="M378" s="15">
        <f t="shared" si="13"/>
        <v>1.2847222222222232E-2</v>
      </c>
      <c r="N378">
        <f t="shared" si="14"/>
        <v>20</v>
      </c>
    </row>
    <row r="379" spans="1:14" x14ac:dyDescent="0.3">
      <c r="A379" s="1"/>
      <c r="B379" s="1"/>
      <c r="C379" s="1"/>
      <c r="D379" s="1"/>
      <c r="E379" s="1"/>
      <c r="F379" s="1"/>
      <c r="G379" s="9" t="s">
        <v>1073</v>
      </c>
      <c r="H379" s="9" t="s">
        <v>119</v>
      </c>
      <c r="I379" s="9" t="s">
        <v>926</v>
      </c>
      <c r="J379" s="9" t="s">
        <v>1912</v>
      </c>
      <c r="K379" s="3" t="s">
        <v>1074</v>
      </c>
      <c r="L379" s="13" t="s">
        <v>1075</v>
      </c>
      <c r="M379" s="15">
        <f t="shared" si="13"/>
        <v>1.3946759259259256E-2</v>
      </c>
      <c r="N379">
        <f t="shared" si="14"/>
        <v>6</v>
      </c>
    </row>
    <row r="380" spans="1:14" x14ac:dyDescent="0.3">
      <c r="A380" s="1"/>
      <c r="B380" s="1"/>
      <c r="C380" s="1"/>
      <c r="D380" s="1"/>
      <c r="E380" s="1"/>
      <c r="F380" s="1"/>
      <c r="G380" s="9" t="s">
        <v>1076</v>
      </c>
      <c r="H380" s="9" t="s">
        <v>119</v>
      </c>
      <c r="I380" s="9" t="s">
        <v>926</v>
      </c>
      <c r="J380" s="9" t="s">
        <v>1912</v>
      </c>
      <c r="K380" s="3" t="s">
        <v>1077</v>
      </c>
      <c r="L380" s="13" t="s">
        <v>1078</v>
      </c>
      <c r="M380" s="15">
        <f t="shared" si="13"/>
        <v>1.8287037037036991E-2</v>
      </c>
      <c r="N380">
        <f t="shared" si="14"/>
        <v>9</v>
      </c>
    </row>
    <row r="381" spans="1:14" x14ac:dyDescent="0.3">
      <c r="A381" s="1"/>
      <c r="B381" s="1"/>
      <c r="C381" s="1"/>
      <c r="D381" s="1"/>
      <c r="E381" s="1"/>
      <c r="F381" s="1"/>
      <c r="G381" s="9" t="s">
        <v>1079</v>
      </c>
      <c r="H381" s="9" t="s">
        <v>119</v>
      </c>
      <c r="I381" s="9" t="s">
        <v>926</v>
      </c>
      <c r="J381" s="9" t="s">
        <v>1912</v>
      </c>
      <c r="K381" s="3" t="s">
        <v>1080</v>
      </c>
      <c r="L381" s="13" t="s">
        <v>1081</v>
      </c>
      <c r="M381" s="15">
        <f t="shared" si="13"/>
        <v>1.7430555555555616E-2</v>
      </c>
      <c r="N381">
        <f t="shared" si="14"/>
        <v>12</v>
      </c>
    </row>
    <row r="382" spans="1:14" x14ac:dyDescent="0.3">
      <c r="A382" s="1"/>
      <c r="B382" s="1"/>
      <c r="C382" s="1"/>
      <c r="D382" s="1"/>
      <c r="E382" s="1"/>
      <c r="F382" s="1"/>
      <c r="G382" s="9" t="s">
        <v>1082</v>
      </c>
      <c r="H382" s="9" t="s">
        <v>119</v>
      </c>
      <c r="I382" s="9" t="s">
        <v>926</v>
      </c>
      <c r="J382" s="9" t="s">
        <v>1912</v>
      </c>
      <c r="K382" s="3" t="s">
        <v>1083</v>
      </c>
      <c r="L382" s="13" t="s">
        <v>1084</v>
      </c>
      <c r="M382" s="15">
        <f t="shared" si="13"/>
        <v>1.4710648148148153E-2</v>
      </c>
      <c r="N382">
        <f t="shared" si="14"/>
        <v>16</v>
      </c>
    </row>
    <row r="383" spans="1:14" x14ac:dyDescent="0.3">
      <c r="A383" s="1"/>
      <c r="B383" s="1"/>
      <c r="C383" s="1"/>
      <c r="D383" s="1"/>
      <c r="E383" s="1"/>
      <c r="F383" s="1"/>
      <c r="G383" s="9" t="s">
        <v>1085</v>
      </c>
      <c r="H383" s="9" t="s">
        <v>119</v>
      </c>
      <c r="I383" s="9" t="s">
        <v>926</v>
      </c>
      <c r="J383" s="9" t="s">
        <v>1912</v>
      </c>
      <c r="K383" s="3" t="s">
        <v>1086</v>
      </c>
      <c r="L383" s="13" t="s">
        <v>1087</v>
      </c>
      <c r="M383" s="15">
        <f t="shared" si="13"/>
        <v>1.346064814814818E-2</v>
      </c>
      <c r="N383">
        <f t="shared" si="14"/>
        <v>18</v>
      </c>
    </row>
    <row r="384" spans="1:14" x14ac:dyDescent="0.3">
      <c r="A384" s="1"/>
      <c r="B384" s="1"/>
      <c r="C384" s="1"/>
      <c r="D384" s="1"/>
      <c r="E384" s="1"/>
      <c r="F384" s="1"/>
      <c r="G384" s="9" t="s">
        <v>1492</v>
      </c>
      <c r="H384" s="9" t="s">
        <v>119</v>
      </c>
      <c r="I384" s="9" t="s">
        <v>1296</v>
      </c>
      <c r="J384" s="9" t="s">
        <v>1912</v>
      </c>
      <c r="K384" s="3" t="s">
        <v>1493</v>
      </c>
      <c r="L384" s="13" t="s">
        <v>1494</v>
      </c>
      <c r="M384" s="15">
        <f t="shared" si="13"/>
        <v>1.3425925925925897E-2</v>
      </c>
      <c r="N384">
        <f t="shared" si="14"/>
        <v>6</v>
      </c>
    </row>
    <row r="385" spans="1:14" x14ac:dyDescent="0.3">
      <c r="A385" s="1"/>
      <c r="B385" s="1"/>
      <c r="C385" s="1"/>
      <c r="D385" s="1"/>
      <c r="E385" s="1"/>
      <c r="F385" s="1"/>
      <c r="G385" s="9" t="s">
        <v>1495</v>
      </c>
      <c r="H385" s="9" t="s">
        <v>119</v>
      </c>
      <c r="I385" s="9" t="s">
        <v>1296</v>
      </c>
      <c r="J385" s="9" t="s">
        <v>1912</v>
      </c>
      <c r="K385" s="3" t="s">
        <v>1496</v>
      </c>
      <c r="L385" s="13" t="s">
        <v>1497</v>
      </c>
      <c r="M385" s="15">
        <f t="shared" si="13"/>
        <v>1.5706018518518494E-2</v>
      </c>
      <c r="N385">
        <f t="shared" si="14"/>
        <v>9</v>
      </c>
    </row>
    <row r="386" spans="1:14" x14ac:dyDescent="0.3">
      <c r="A386" s="1"/>
      <c r="B386" s="1"/>
      <c r="C386" s="1"/>
      <c r="D386" s="1"/>
      <c r="E386" s="1"/>
      <c r="F386" s="1"/>
      <c r="G386" s="9" t="s">
        <v>1498</v>
      </c>
      <c r="H386" s="9" t="s">
        <v>119</v>
      </c>
      <c r="I386" s="9" t="s">
        <v>1296</v>
      </c>
      <c r="J386" s="9" t="s">
        <v>1912</v>
      </c>
      <c r="K386" s="3" t="s">
        <v>1499</v>
      </c>
      <c r="L386" s="13" t="s">
        <v>1500</v>
      </c>
      <c r="M386" s="15">
        <f t="shared" si="13"/>
        <v>2.2627314814814892E-2</v>
      </c>
      <c r="N386">
        <f t="shared" si="14"/>
        <v>11</v>
      </c>
    </row>
    <row r="387" spans="1:14" x14ac:dyDescent="0.3">
      <c r="A387" s="1"/>
      <c r="B387" s="1"/>
      <c r="C387" s="1"/>
      <c r="D387" s="1"/>
      <c r="E387" s="1"/>
      <c r="F387" s="1"/>
      <c r="G387" s="9" t="s">
        <v>1501</v>
      </c>
      <c r="H387" s="9" t="s">
        <v>119</v>
      </c>
      <c r="I387" s="9" t="s">
        <v>1296</v>
      </c>
      <c r="J387" s="9" t="s">
        <v>1912</v>
      </c>
      <c r="K387" s="3" t="s">
        <v>1502</v>
      </c>
      <c r="L387" s="13" t="s">
        <v>1503</v>
      </c>
      <c r="M387" s="15">
        <f t="shared" ref="M387:M450" si="15">L387-K387</f>
        <v>2.0046296296296395E-2</v>
      </c>
      <c r="N387">
        <f t="shared" ref="N387:N450" si="16">HOUR(K387)</f>
        <v>12</v>
      </c>
    </row>
    <row r="388" spans="1:14" x14ac:dyDescent="0.3">
      <c r="A388" s="1"/>
      <c r="B388" s="1"/>
      <c r="C388" s="1"/>
      <c r="D388" s="1"/>
      <c r="E388" s="1"/>
      <c r="F388" s="1"/>
      <c r="G388" s="9" t="s">
        <v>1504</v>
      </c>
      <c r="H388" s="9" t="s">
        <v>119</v>
      </c>
      <c r="I388" s="9" t="s">
        <v>1296</v>
      </c>
      <c r="J388" s="9" t="s">
        <v>1912</v>
      </c>
      <c r="K388" s="3" t="s">
        <v>1505</v>
      </c>
      <c r="L388" s="13" t="s">
        <v>1506</v>
      </c>
      <c r="M388" s="15">
        <f t="shared" si="15"/>
        <v>1.778935185185182E-2</v>
      </c>
      <c r="N388">
        <f t="shared" si="16"/>
        <v>15</v>
      </c>
    </row>
    <row r="389" spans="1:14" x14ac:dyDescent="0.3">
      <c r="A389" s="1"/>
      <c r="B389" s="1"/>
      <c r="C389" s="1"/>
      <c r="D389" s="1"/>
      <c r="E389" s="1"/>
      <c r="F389" s="1"/>
      <c r="G389" s="9" t="s">
        <v>1507</v>
      </c>
      <c r="H389" s="9" t="s">
        <v>119</v>
      </c>
      <c r="I389" s="9" t="s">
        <v>1296</v>
      </c>
      <c r="J389" s="9" t="s">
        <v>1912</v>
      </c>
      <c r="K389" s="3" t="s">
        <v>1508</v>
      </c>
      <c r="L389" s="13" t="s">
        <v>1509</v>
      </c>
      <c r="M389" s="15">
        <f t="shared" si="15"/>
        <v>1.4791666666666758E-2</v>
      </c>
      <c r="N389">
        <f t="shared" si="16"/>
        <v>15</v>
      </c>
    </row>
    <row r="390" spans="1:14" x14ac:dyDescent="0.3">
      <c r="A390" s="1"/>
      <c r="B390" s="1"/>
      <c r="C390" s="1"/>
      <c r="D390" s="1"/>
      <c r="E390" s="1"/>
      <c r="F390" s="1"/>
      <c r="G390" s="9" t="s">
        <v>1510</v>
      </c>
      <c r="H390" s="9" t="s">
        <v>119</v>
      </c>
      <c r="I390" s="9" t="s">
        <v>1296</v>
      </c>
      <c r="J390" s="9" t="s">
        <v>1912</v>
      </c>
      <c r="K390" s="3" t="s">
        <v>1511</v>
      </c>
      <c r="L390" s="13" t="s">
        <v>1512</v>
      </c>
      <c r="M390" s="15">
        <f t="shared" si="15"/>
        <v>1.679398148148159E-2</v>
      </c>
      <c r="N390">
        <f t="shared" si="16"/>
        <v>18</v>
      </c>
    </row>
    <row r="391" spans="1:14" x14ac:dyDescent="0.3">
      <c r="A391" s="1"/>
      <c r="B391" s="1"/>
      <c r="C391" s="1"/>
      <c r="D391" s="1"/>
      <c r="E391" s="1"/>
      <c r="F391" s="1"/>
      <c r="G391" s="9" t="s">
        <v>1513</v>
      </c>
      <c r="H391" s="9" t="s">
        <v>119</v>
      </c>
      <c r="I391" s="9" t="s">
        <v>1296</v>
      </c>
      <c r="J391" s="9" t="s">
        <v>1912</v>
      </c>
      <c r="K391" s="3" t="s">
        <v>1514</v>
      </c>
      <c r="L391" s="13" t="s">
        <v>1515</v>
      </c>
      <c r="M391" s="15">
        <f t="shared" si="15"/>
        <v>1.3425925925925952E-2</v>
      </c>
      <c r="N391">
        <f t="shared" si="16"/>
        <v>20</v>
      </c>
    </row>
    <row r="392" spans="1:14" x14ac:dyDescent="0.3">
      <c r="A392" s="1"/>
      <c r="B392" s="1"/>
      <c r="C392" s="1"/>
      <c r="D392" s="1"/>
      <c r="E392" s="1"/>
      <c r="F392" s="1"/>
      <c r="G392" s="9" t="s">
        <v>2140</v>
      </c>
      <c r="H392" s="9" t="s">
        <v>119</v>
      </c>
      <c r="I392" s="9" t="s">
        <v>1914</v>
      </c>
      <c r="J392" s="9" t="s">
        <v>1912</v>
      </c>
      <c r="K392" s="3" t="s">
        <v>2141</v>
      </c>
      <c r="L392" s="13" t="s">
        <v>2142</v>
      </c>
      <c r="M392" s="15">
        <f t="shared" si="15"/>
        <v>1.25925925925926E-2</v>
      </c>
      <c r="N392">
        <f t="shared" si="16"/>
        <v>4</v>
      </c>
    </row>
    <row r="393" spans="1:14" x14ac:dyDescent="0.3">
      <c r="A393" s="1"/>
      <c r="B393" s="1"/>
      <c r="C393" s="1"/>
      <c r="D393" s="1"/>
      <c r="E393" s="1"/>
      <c r="F393" s="1"/>
      <c r="G393" s="9" t="s">
        <v>2143</v>
      </c>
      <c r="H393" s="9" t="s">
        <v>119</v>
      </c>
      <c r="I393" s="9" t="s">
        <v>1914</v>
      </c>
      <c r="J393" s="9" t="s">
        <v>1912</v>
      </c>
      <c r="K393" s="3" t="s">
        <v>2144</v>
      </c>
      <c r="L393" s="13" t="s">
        <v>2145</v>
      </c>
      <c r="M393" s="15">
        <f t="shared" si="15"/>
        <v>1.4317129629629666E-2</v>
      </c>
      <c r="N393">
        <f t="shared" si="16"/>
        <v>6</v>
      </c>
    </row>
    <row r="394" spans="1:14" x14ac:dyDescent="0.3">
      <c r="A394" s="1"/>
      <c r="B394" s="1"/>
      <c r="C394" s="1"/>
      <c r="D394" s="1"/>
      <c r="E394" s="1"/>
      <c r="F394" s="1"/>
      <c r="G394" s="9" t="s">
        <v>2146</v>
      </c>
      <c r="H394" s="9" t="s">
        <v>119</v>
      </c>
      <c r="I394" s="9" t="s">
        <v>1914</v>
      </c>
      <c r="J394" s="9" t="s">
        <v>1912</v>
      </c>
      <c r="K394" s="3" t="s">
        <v>2147</v>
      </c>
      <c r="L394" s="13" t="s">
        <v>2148</v>
      </c>
      <c r="M394" s="15">
        <f t="shared" si="15"/>
        <v>1.4375000000000027E-2</v>
      </c>
      <c r="N394">
        <f t="shared" si="16"/>
        <v>10</v>
      </c>
    </row>
    <row r="395" spans="1:14" x14ac:dyDescent="0.3">
      <c r="A395" s="1"/>
      <c r="B395" s="1"/>
      <c r="C395" s="1"/>
      <c r="D395" s="1"/>
      <c r="E395" s="1"/>
      <c r="F395" s="1"/>
      <c r="G395" s="9" t="s">
        <v>2149</v>
      </c>
      <c r="H395" s="9" t="s">
        <v>119</v>
      </c>
      <c r="I395" s="9" t="s">
        <v>1941</v>
      </c>
      <c r="J395" s="9" t="s">
        <v>1912</v>
      </c>
      <c r="K395" s="3" t="s">
        <v>2150</v>
      </c>
      <c r="L395" s="13" t="s">
        <v>2151</v>
      </c>
      <c r="M395" s="15">
        <f t="shared" si="15"/>
        <v>1.636574074074082E-2</v>
      </c>
      <c r="N395">
        <f t="shared" si="16"/>
        <v>9</v>
      </c>
    </row>
    <row r="396" spans="1:14" x14ac:dyDescent="0.3">
      <c r="A396" s="1"/>
      <c r="B396" s="1"/>
      <c r="C396" s="1"/>
      <c r="D396" s="1"/>
      <c r="E396" s="1"/>
      <c r="F396" s="1"/>
      <c r="G396" s="9" t="s">
        <v>2152</v>
      </c>
      <c r="H396" s="9" t="s">
        <v>119</v>
      </c>
      <c r="I396" s="9" t="s">
        <v>1941</v>
      </c>
      <c r="J396" s="9" t="s">
        <v>1912</v>
      </c>
      <c r="K396" s="3" t="s">
        <v>2153</v>
      </c>
      <c r="L396" s="13" t="s">
        <v>2154</v>
      </c>
      <c r="M396" s="15">
        <f t="shared" si="15"/>
        <v>1.3344907407407514E-2</v>
      </c>
      <c r="N396">
        <f t="shared" si="16"/>
        <v>11</v>
      </c>
    </row>
    <row r="397" spans="1:14" x14ac:dyDescent="0.3">
      <c r="A397" s="1"/>
      <c r="B397" s="1"/>
      <c r="C397" s="9" t="s">
        <v>136</v>
      </c>
      <c r="D397" s="9" t="s">
        <v>137</v>
      </c>
      <c r="E397" s="9" t="s">
        <v>137</v>
      </c>
      <c r="F397" s="9" t="s">
        <v>22</v>
      </c>
      <c r="G397" s="11" t="s">
        <v>19</v>
      </c>
      <c r="H397" s="2"/>
      <c r="I397" s="2"/>
      <c r="J397" s="7"/>
      <c r="K397" s="4"/>
      <c r="L397" s="12"/>
    </row>
    <row r="398" spans="1:14" x14ac:dyDescent="0.3">
      <c r="A398" s="1"/>
      <c r="B398" s="1"/>
      <c r="C398" s="1"/>
      <c r="D398" s="1"/>
      <c r="E398" s="1"/>
      <c r="F398" s="1"/>
      <c r="G398" s="9" t="s">
        <v>254</v>
      </c>
      <c r="H398" s="9" t="s">
        <v>119</v>
      </c>
      <c r="I398" s="9" t="s">
        <v>25</v>
      </c>
      <c r="J398" s="9" t="s">
        <v>1912</v>
      </c>
      <c r="K398" s="3" t="s">
        <v>255</v>
      </c>
      <c r="L398" s="13" t="s">
        <v>256</v>
      </c>
      <c r="M398" s="15">
        <f t="shared" si="15"/>
        <v>1.2430555555555584E-2</v>
      </c>
      <c r="N398">
        <f t="shared" si="16"/>
        <v>4</v>
      </c>
    </row>
    <row r="399" spans="1:14" x14ac:dyDescent="0.3">
      <c r="A399" s="1"/>
      <c r="B399" s="1"/>
      <c r="C399" s="1"/>
      <c r="D399" s="1"/>
      <c r="E399" s="1"/>
      <c r="F399" s="1"/>
      <c r="G399" s="9" t="s">
        <v>257</v>
      </c>
      <c r="H399" s="9" t="s">
        <v>119</v>
      </c>
      <c r="I399" s="9" t="s">
        <v>25</v>
      </c>
      <c r="J399" s="9" t="s">
        <v>1912</v>
      </c>
      <c r="K399" s="3" t="s">
        <v>258</v>
      </c>
      <c r="L399" s="13" t="s">
        <v>259</v>
      </c>
      <c r="M399" s="15">
        <f t="shared" si="15"/>
        <v>1.5451388888888917E-2</v>
      </c>
      <c r="N399">
        <f t="shared" si="16"/>
        <v>6</v>
      </c>
    </row>
    <row r="400" spans="1:14" x14ac:dyDescent="0.3">
      <c r="A400" s="1"/>
      <c r="B400" s="1"/>
      <c r="C400" s="1"/>
      <c r="D400" s="1"/>
      <c r="E400" s="1"/>
      <c r="F400" s="1"/>
      <c r="G400" s="9" t="s">
        <v>260</v>
      </c>
      <c r="H400" s="9" t="s">
        <v>119</v>
      </c>
      <c r="I400" s="9" t="s">
        <v>25</v>
      </c>
      <c r="J400" s="9" t="s">
        <v>1912</v>
      </c>
      <c r="K400" s="3" t="s">
        <v>261</v>
      </c>
      <c r="L400" s="13" t="s">
        <v>262</v>
      </c>
      <c r="M400" s="15">
        <f t="shared" si="15"/>
        <v>1.0983796296296255E-2</v>
      </c>
      <c r="N400">
        <f t="shared" si="16"/>
        <v>7</v>
      </c>
    </row>
    <row r="401" spans="1:14" x14ac:dyDescent="0.3">
      <c r="A401" s="1"/>
      <c r="B401" s="1"/>
      <c r="C401" s="1"/>
      <c r="D401" s="1"/>
      <c r="E401" s="1"/>
      <c r="F401" s="1"/>
      <c r="G401" s="9" t="s">
        <v>263</v>
      </c>
      <c r="H401" s="9" t="s">
        <v>119</v>
      </c>
      <c r="I401" s="9" t="s">
        <v>25</v>
      </c>
      <c r="J401" s="9" t="s">
        <v>1912</v>
      </c>
      <c r="K401" s="3" t="s">
        <v>264</v>
      </c>
      <c r="L401" s="13" t="s">
        <v>265</v>
      </c>
      <c r="M401" s="15">
        <f t="shared" si="15"/>
        <v>1.4918981481481464E-2</v>
      </c>
      <c r="N401">
        <f t="shared" si="16"/>
        <v>7</v>
      </c>
    </row>
    <row r="402" spans="1:14" x14ac:dyDescent="0.3">
      <c r="A402" s="1"/>
      <c r="B402" s="1"/>
      <c r="C402" s="1"/>
      <c r="D402" s="1"/>
      <c r="E402" s="1"/>
      <c r="F402" s="1"/>
      <c r="G402" s="9" t="s">
        <v>266</v>
      </c>
      <c r="H402" s="9" t="s">
        <v>119</v>
      </c>
      <c r="I402" s="9" t="s">
        <v>25</v>
      </c>
      <c r="J402" s="9" t="s">
        <v>1912</v>
      </c>
      <c r="K402" s="3" t="s">
        <v>267</v>
      </c>
      <c r="L402" s="13" t="s">
        <v>268</v>
      </c>
      <c r="M402" s="15">
        <f t="shared" si="15"/>
        <v>1.6458333333333408E-2</v>
      </c>
      <c r="N402">
        <f t="shared" si="16"/>
        <v>9</v>
      </c>
    </row>
    <row r="403" spans="1:14" x14ac:dyDescent="0.3">
      <c r="A403" s="1"/>
      <c r="B403" s="1"/>
      <c r="C403" s="1"/>
      <c r="D403" s="1"/>
      <c r="E403" s="1"/>
      <c r="F403" s="1"/>
      <c r="G403" s="9" t="s">
        <v>269</v>
      </c>
      <c r="H403" s="9" t="s">
        <v>119</v>
      </c>
      <c r="I403" s="9" t="s">
        <v>25</v>
      </c>
      <c r="J403" s="9" t="s">
        <v>1912</v>
      </c>
      <c r="K403" s="3" t="s">
        <v>270</v>
      </c>
      <c r="L403" s="13" t="s">
        <v>271</v>
      </c>
      <c r="M403" s="15">
        <f t="shared" si="15"/>
        <v>3.9710648148148175E-2</v>
      </c>
      <c r="N403">
        <f t="shared" si="16"/>
        <v>10</v>
      </c>
    </row>
    <row r="404" spans="1:14" x14ac:dyDescent="0.3">
      <c r="A404" s="1"/>
      <c r="B404" s="1"/>
      <c r="C404" s="1"/>
      <c r="D404" s="1"/>
      <c r="E404" s="1"/>
      <c r="F404" s="1"/>
      <c r="G404" s="9" t="s">
        <v>679</v>
      </c>
      <c r="H404" s="9" t="s">
        <v>119</v>
      </c>
      <c r="I404" s="9" t="s">
        <v>486</v>
      </c>
      <c r="J404" s="9" t="s">
        <v>1912</v>
      </c>
      <c r="K404" s="3" t="s">
        <v>680</v>
      </c>
      <c r="L404" s="13" t="s">
        <v>681</v>
      </c>
      <c r="M404" s="15">
        <f t="shared" si="15"/>
        <v>1.4120370370370394E-2</v>
      </c>
      <c r="N404">
        <f t="shared" si="16"/>
        <v>4</v>
      </c>
    </row>
    <row r="405" spans="1:14" x14ac:dyDescent="0.3">
      <c r="A405" s="1"/>
      <c r="B405" s="1"/>
      <c r="C405" s="1"/>
      <c r="D405" s="1"/>
      <c r="E405" s="1"/>
      <c r="F405" s="1"/>
      <c r="G405" s="9" t="s">
        <v>682</v>
      </c>
      <c r="H405" s="9" t="s">
        <v>119</v>
      </c>
      <c r="I405" s="9" t="s">
        <v>486</v>
      </c>
      <c r="J405" s="9" t="s">
        <v>1912</v>
      </c>
      <c r="K405" s="3" t="s">
        <v>683</v>
      </c>
      <c r="L405" s="13" t="s">
        <v>684</v>
      </c>
      <c r="M405" s="15">
        <f t="shared" si="15"/>
        <v>1.5081018518518507E-2</v>
      </c>
      <c r="N405">
        <f t="shared" si="16"/>
        <v>4</v>
      </c>
    </row>
    <row r="406" spans="1:14" x14ac:dyDescent="0.3">
      <c r="A406" s="1"/>
      <c r="B406" s="1"/>
      <c r="C406" s="1"/>
      <c r="D406" s="1"/>
      <c r="E406" s="1"/>
      <c r="F406" s="1"/>
      <c r="G406" s="9" t="s">
        <v>685</v>
      </c>
      <c r="H406" s="9" t="s">
        <v>119</v>
      </c>
      <c r="I406" s="9" t="s">
        <v>486</v>
      </c>
      <c r="J406" s="9" t="s">
        <v>1912</v>
      </c>
      <c r="K406" s="3" t="s">
        <v>686</v>
      </c>
      <c r="L406" s="13" t="s">
        <v>687</v>
      </c>
      <c r="M406" s="15">
        <f t="shared" si="15"/>
        <v>3.2453703703703707E-2</v>
      </c>
      <c r="N406">
        <f t="shared" si="16"/>
        <v>8</v>
      </c>
    </row>
    <row r="407" spans="1:14" x14ac:dyDescent="0.3">
      <c r="A407" s="1"/>
      <c r="B407" s="1"/>
      <c r="C407" s="1"/>
      <c r="D407" s="1"/>
      <c r="E407" s="1"/>
      <c r="F407" s="1"/>
      <c r="G407" s="9" t="s">
        <v>688</v>
      </c>
      <c r="H407" s="9" t="s">
        <v>119</v>
      </c>
      <c r="I407" s="9" t="s">
        <v>486</v>
      </c>
      <c r="J407" s="9" t="s">
        <v>1912</v>
      </c>
      <c r="K407" s="3" t="s">
        <v>689</v>
      </c>
      <c r="L407" s="13" t="s">
        <v>690</v>
      </c>
      <c r="M407" s="15">
        <f t="shared" si="15"/>
        <v>3.6631944444444453E-2</v>
      </c>
      <c r="N407">
        <f t="shared" si="16"/>
        <v>8</v>
      </c>
    </row>
    <row r="408" spans="1:14" x14ac:dyDescent="0.3">
      <c r="A408" s="1"/>
      <c r="B408" s="1"/>
      <c r="C408" s="1"/>
      <c r="D408" s="1"/>
      <c r="E408" s="1"/>
      <c r="F408" s="1"/>
      <c r="G408" s="9" t="s">
        <v>691</v>
      </c>
      <c r="H408" s="9" t="s">
        <v>119</v>
      </c>
      <c r="I408" s="9" t="s">
        <v>486</v>
      </c>
      <c r="J408" s="9" t="s">
        <v>1912</v>
      </c>
      <c r="K408" s="3" t="s">
        <v>692</v>
      </c>
      <c r="L408" s="13" t="s">
        <v>132</v>
      </c>
      <c r="M408" s="15">
        <f t="shared" si="15"/>
        <v>2.3206018518518556E-2</v>
      </c>
      <c r="N408">
        <f t="shared" si="16"/>
        <v>9</v>
      </c>
    </row>
    <row r="409" spans="1:14" x14ac:dyDescent="0.3">
      <c r="A409" s="1"/>
      <c r="B409" s="1"/>
      <c r="C409" s="1"/>
      <c r="D409" s="1"/>
      <c r="E409" s="1"/>
      <c r="F409" s="1"/>
      <c r="G409" s="9" t="s">
        <v>1088</v>
      </c>
      <c r="H409" s="9" t="s">
        <v>119</v>
      </c>
      <c r="I409" s="9" t="s">
        <v>926</v>
      </c>
      <c r="J409" s="9" t="s">
        <v>1912</v>
      </c>
      <c r="K409" s="3" t="s">
        <v>1089</v>
      </c>
      <c r="L409" s="13" t="s">
        <v>1090</v>
      </c>
      <c r="M409" s="15">
        <f t="shared" si="15"/>
        <v>1.6192129629629598E-2</v>
      </c>
      <c r="N409">
        <f t="shared" si="16"/>
        <v>4</v>
      </c>
    </row>
    <row r="410" spans="1:14" x14ac:dyDescent="0.3">
      <c r="A410" s="1"/>
      <c r="B410" s="1"/>
      <c r="C410" s="1"/>
      <c r="D410" s="1"/>
      <c r="E410" s="1"/>
      <c r="F410" s="1"/>
      <c r="G410" s="9" t="s">
        <v>1091</v>
      </c>
      <c r="H410" s="9" t="s">
        <v>119</v>
      </c>
      <c r="I410" s="9" t="s">
        <v>926</v>
      </c>
      <c r="J410" s="9" t="s">
        <v>1912</v>
      </c>
      <c r="K410" s="3" t="s">
        <v>1092</v>
      </c>
      <c r="L410" s="13" t="s">
        <v>1093</v>
      </c>
      <c r="M410" s="15">
        <f t="shared" si="15"/>
        <v>1.9363425925925909E-2</v>
      </c>
      <c r="N410">
        <f t="shared" si="16"/>
        <v>4</v>
      </c>
    </row>
    <row r="411" spans="1:14" x14ac:dyDescent="0.3">
      <c r="A411" s="1"/>
      <c r="B411" s="1"/>
      <c r="C411" s="1"/>
      <c r="D411" s="1"/>
      <c r="E411" s="1"/>
      <c r="F411" s="1"/>
      <c r="G411" s="9" t="s">
        <v>1094</v>
      </c>
      <c r="H411" s="9" t="s">
        <v>119</v>
      </c>
      <c r="I411" s="9" t="s">
        <v>926</v>
      </c>
      <c r="J411" s="9" t="s">
        <v>1912</v>
      </c>
      <c r="K411" s="3" t="s">
        <v>1095</v>
      </c>
      <c r="L411" s="13" t="s">
        <v>1096</v>
      </c>
      <c r="M411" s="15">
        <f t="shared" si="15"/>
        <v>1.2905092592592649E-2</v>
      </c>
      <c r="N411">
        <f t="shared" si="16"/>
        <v>7</v>
      </c>
    </row>
    <row r="412" spans="1:14" x14ac:dyDescent="0.3">
      <c r="A412" s="1"/>
      <c r="B412" s="1"/>
      <c r="C412" s="1"/>
      <c r="D412" s="1"/>
      <c r="E412" s="1"/>
      <c r="F412" s="1"/>
      <c r="G412" s="9" t="s">
        <v>1097</v>
      </c>
      <c r="H412" s="9" t="s">
        <v>119</v>
      </c>
      <c r="I412" s="9" t="s">
        <v>926</v>
      </c>
      <c r="J412" s="9" t="s">
        <v>1912</v>
      </c>
      <c r="K412" s="3" t="s">
        <v>1098</v>
      </c>
      <c r="L412" s="13" t="s">
        <v>1099</v>
      </c>
      <c r="M412" s="15">
        <f t="shared" si="15"/>
        <v>3.8171296296296231E-2</v>
      </c>
      <c r="N412">
        <f t="shared" si="16"/>
        <v>7</v>
      </c>
    </row>
    <row r="413" spans="1:14" x14ac:dyDescent="0.3">
      <c r="A413" s="1"/>
      <c r="B413" s="1"/>
      <c r="C413" s="1"/>
      <c r="D413" s="1"/>
      <c r="E413" s="1"/>
      <c r="F413" s="1"/>
      <c r="G413" s="9" t="s">
        <v>1100</v>
      </c>
      <c r="H413" s="9" t="s">
        <v>119</v>
      </c>
      <c r="I413" s="9" t="s">
        <v>926</v>
      </c>
      <c r="J413" s="9" t="s">
        <v>1912</v>
      </c>
      <c r="K413" s="3" t="s">
        <v>1101</v>
      </c>
      <c r="L413" s="13" t="s">
        <v>1102</v>
      </c>
      <c r="M413" s="15">
        <f t="shared" si="15"/>
        <v>1.7476851851851827E-2</v>
      </c>
      <c r="N413">
        <f t="shared" si="16"/>
        <v>8</v>
      </c>
    </row>
    <row r="414" spans="1:14" x14ac:dyDescent="0.3">
      <c r="A414" s="1"/>
      <c r="B414" s="1"/>
      <c r="C414" s="1"/>
      <c r="D414" s="1"/>
      <c r="E414" s="1"/>
      <c r="F414" s="1"/>
      <c r="G414" s="9" t="s">
        <v>1516</v>
      </c>
      <c r="H414" s="9" t="s">
        <v>119</v>
      </c>
      <c r="I414" s="9" t="s">
        <v>1296</v>
      </c>
      <c r="J414" s="9" t="s">
        <v>1912</v>
      </c>
      <c r="K414" s="3" t="s">
        <v>680</v>
      </c>
      <c r="L414" s="13" t="s">
        <v>1517</v>
      </c>
      <c r="M414" s="15">
        <f t="shared" si="15"/>
        <v>1.2835648148148165E-2</v>
      </c>
      <c r="N414">
        <f t="shared" si="16"/>
        <v>4</v>
      </c>
    </row>
    <row r="415" spans="1:14" x14ac:dyDescent="0.3">
      <c r="A415" s="1"/>
      <c r="B415" s="1"/>
      <c r="C415" s="1"/>
      <c r="D415" s="1"/>
      <c r="E415" s="1"/>
      <c r="F415" s="1"/>
      <c r="G415" s="9" t="s">
        <v>1518</v>
      </c>
      <c r="H415" s="9" t="s">
        <v>119</v>
      </c>
      <c r="I415" s="9" t="s">
        <v>1296</v>
      </c>
      <c r="J415" s="9" t="s">
        <v>1912</v>
      </c>
      <c r="K415" s="3" t="s">
        <v>1519</v>
      </c>
      <c r="L415" s="13" t="s">
        <v>1254</v>
      </c>
      <c r="M415" s="15">
        <f t="shared" si="15"/>
        <v>1.2384259259259262E-2</v>
      </c>
      <c r="N415">
        <f t="shared" si="16"/>
        <v>5</v>
      </c>
    </row>
    <row r="416" spans="1:14" x14ac:dyDescent="0.3">
      <c r="A416" s="1"/>
      <c r="B416" s="1"/>
      <c r="C416" s="1"/>
      <c r="D416" s="1"/>
      <c r="E416" s="1"/>
      <c r="F416" s="1"/>
      <c r="G416" s="9" t="s">
        <v>1520</v>
      </c>
      <c r="H416" s="9" t="s">
        <v>119</v>
      </c>
      <c r="I416" s="9" t="s">
        <v>1296</v>
      </c>
      <c r="J416" s="9" t="s">
        <v>1912</v>
      </c>
      <c r="K416" s="3" t="s">
        <v>1521</v>
      </c>
      <c r="L416" s="13" t="s">
        <v>1522</v>
      </c>
      <c r="M416" s="15">
        <f t="shared" si="15"/>
        <v>2.5000000000000022E-2</v>
      </c>
      <c r="N416">
        <f t="shared" si="16"/>
        <v>7</v>
      </c>
    </row>
    <row r="417" spans="1:14" x14ac:dyDescent="0.3">
      <c r="A417" s="1"/>
      <c r="B417" s="1"/>
      <c r="C417" s="1"/>
      <c r="D417" s="1"/>
      <c r="E417" s="1"/>
      <c r="F417" s="1"/>
      <c r="G417" s="9" t="s">
        <v>1523</v>
      </c>
      <c r="H417" s="9" t="s">
        <v>119</v>
      </c>
      <c r="I417" s="9" t="s">
        <v>1296</v>
      </c>
      <c r="J417" s="9" t="s">
        <v>1912</v>
      </c>
      <c r="K417" s="3" t="s">
        <v>1524</v>
      </c>
      <c r="L417" s="13" t="s">
        <v>1525</v>
      </c>
      <c r="M417" s="15">
        <f t="shared" si="15"/>
        <v>1.2002314814814841E-2</v>
      </c>
      <c r="N417">
        <f t="shared" si="16"/>
        <v>8</v>
      </c>
    </row>
    <row r="418" spans="1:14" x14ac:dyDescent="0.3">
      <c r="A418" s="1"/>
      <c r="B418" s="1"/>
      <c r="C418" s="1"/>
      <c r="D418" s="1"/>
      <c r="E418" s="1"/>
      <c r="F418" s="1"/>
      <c r="G418" s="9" t="s">
        <v>1526</v>
      </c>
      <c r="H418" s="9" t="s">
        <v>119</v>
      </c>
      <c r="I418" s="9" t="s">
        <v>1296</v>
      </c>
      <c r="J418" s="9" t="s">
        <v>1912</v>
      </c>
      <c r="K418" s="3" t="s">
        <v>1527</v>
      </c>
      <c r="L418" s="13" t="s">
        <v>1528</v>
      </c>
      <c r="M418" s="15">
        <f t="shared" si="15"/>
        <v>3.5312500000000024E-2</v>
      </c>
      <c r="N418">
        <f t="shared" si="16"/>
        <v>9</v>
      </c>
    </row>
    <row r="419" spans="1:14" x14ac:dyDescent="0.3">
      <c r="A419" s="1"/>
      <c r="B419" s="1"/>
      <c r="C419" s="1"/>
      <c r="D419" s="1"/>
      <c r="E419" s="1"/>
      <c r="F419" s="1"/>
      <c r="G419" s="9" t="s">
        <v>1529</v>
      </c>
      <c r="H419" s="9" t="s">
        <v>119</v>
      </c>
      <c r="I419" s="9" t="s">
        <v>1296</v>
      </c>
      <c r="J419" s="9" t="s">
        <v>1912</v>
      </c>
      <c r="K419" s="3" t="s">
        <v>1530</v>
      </c>
      <c r="L419" s="13" t="s">
        <v>1531</v>
      </c>
      <c r="M419" s="15">
        <f t="shared" si="15"/>
        <v>2.0601851851851816E-2</v>
      </c>
      <c r="N419">
        <f t="shared" si="16"/>
        <v>11</v>
      </c>
    </row>
    <row r="420" spans="1:14" x14ac:dyDescent="0.3">
      <c r="A420" s="1"/>
      <c r="B420" s="1"/>
      <c r="C420" s="1"/>
      <c r="D420" s="1"/>
      <c r="E420" s="1"/>
      <c r="F420" s="1"/>
      <c r="G420" s="9" t="s">
        <v>1532</v>
      </c>
      <c r="H420" s="9" t="s">
        <v>119</v>
      </c>
      <c r="I420" s="9" t="s">
        <v>1296</v>
      </c>
      <c r="J420" s="9" t="s">
        <v>1912</v>
      </c>
      <c r="K420" s="3" t="s">
        <v>1533</v>
      </c>
      <c r="L420" s="13" t="s">
        <v>1534</v>
      </c>
      <c r="M420" s="15">
        <f t="shared" si="15"/>
        <v>2.7071759259259254E-2</v>
      </c>
      <c r="N420">
        <f t="shared" si="16"/>
        <v>11</v>
      </c>
    </row>
    <row r="421" spans="1:14" x14ac:dyDescent="0.3">
      <c r="A421" s="1"/>
      <c r="B421" s="1"/>
      <c r="C421" s="9" t="s">
        <v>147</v>
      </c>
      <c r="D421" s="9" t="s">
        <v>148</v>
      </c>
      <c r="E421" s="11" t="s">
        <v>19</v>
      </c>
      <c r="F421" s="2"/>
      <c r="G421" s="2"/>
      <c r="H421" s="2"/>
      <c r="I421" s="2"/>
      <c r="J421" s="7"/>
      <c r="K421" s="4"/>
      <c r="L421" s="12"/>
    </row>
    <row r="422" spans="1:14" x14ac:dyDescent="0.3">
      <c r="A422" s="1"/>
      <c r="B422" s="1"/>
      <c r="C422" s="1"/>
      <c r="D422" s="1"/>
      <c r="E422" s="9" t="s">
        <v>272</v>
      </c>
      <c r="F422" s="9" t="s">
        <v>22</v>
      </c>
      <c r="G422" s="11" t="s">
        <v>19</v>
      </c>
      <c r="H422" s="2"/>
      <c r="I422" s="2"/>
      <c r="J422" s="7"/>
      <c r="K422" s="4"/>
      <c r="L422" s="12"/>
    </row>
    <row r="423" spans="1:14" x14ac:dyDescent="0.3">
      <c r="A423" s="1"/>
      <c r="B423" s="1"/>
      <c r="C423" s="1"/>
      <c r="D423" s="1"/>
      <c r="E423" s="1"/>
      <c r="F423" s="1"/>
      <c r="G423" s="9" t="s">
        <v>273</v>
      </c>
      <c r="H423" s="9" t="s">
        <v>119</v>
      </c>
      <c r="I423" s="9" t="s">
        <v>25</v>
      </c>
      <c r="J423" s="9" t="s">
        <v>1912</v>
      </c>
      <c r="K423" s="3" t="s">
        <v>274</v>
      </c>
      <c r="L423" s="13" t="s">
        <v>275</v>
      </c>
      <c r="M423" s="15">
        <f t="shared" si="15"/>
        <v>1.5902777777777821E-2</v>
      </c>
      <c r="N423">
        <f t="shared" si="16"/>
        <v>9</v>
      </c>
    </row>
    <row r="424" spans="1:14" x14ac:dyDescent="0.3">
      <c r="A424" s="1"/>
      <c r="B424" s="1"/>
      <c r="C424" s="1"/>
      <c r="D424" s="1"/>
      <c r="E424" s="1"/>
      <c r="F424" s="1"/>
      <c r="G424" s="9" t="s">
        <v>276</v>
      </c>
      <c r="H424" s="9" t="s">
        <v>119</v>
      </c>
      <c r="I424" s="9" t="s">
        <v>25</v>
      </c>
      <c r="J424" s="9" t="s">
        <v>1912</v>
      </c>
      <c r="K424" s="3" t="s">
        <v>277</v>
      </c>
      <c r="L424" s="13" t="s">
        <v>278</v>
      </c>
      <c r="M424" s="15">
        <f t="shared" si="15"/>
        <v>1.7743055555555554E-2</v>
      </c>
      <c r="N424">
        <f t="shared" si="16"/>
        <v>9</v>
      </c>
    </row>
    <row r="425" spans="1:14" x14ac:dyDescent="0.3">
      <c r="A425" s="1"/>
      <c r="B425" s="1"/>
      <c r="C425" s="1"/>
      <c r="D425" s="1"/>
      <c r="E425" s="1"/>
      <c r="F425" s="1"/>
      <c r="G425" s="9" t="s">
        <v>279</v>
      </c>
      <c r="H425" s="9" t="s">
        <v>119</v>
      </c>
      <c r="I425" s="9" t="s">
        <v>25</v>
      </c>
      <c r="J425" s="9" t="s">
        <v>1912</v>
      </c>
      <c r="K425" s="3" t="s">
        <v>280</v>
      </c>
      <c r="L425" s="13" t="s">
        <v>281</v>
      </c>
      <c r="M425" s="15">
        <f t="shared" si="15"/>
        <v>2.7523148148148158E-2</v>
      </c>
      <c r="N425">
        <f t="shared" si="16"/>
        <v>9</v>
      </c>
    </row>
    <row r="426" spans="1:14" x14ac:dyDescent="0.3">
      <c r="A426" s="1"/>
      <c r="B426" s="1"/>
      <c r="C426" s="1"/>
      <c r="D426" s="1"/>
      <c r="E426" s="1"/>
      <c r="F426" s="1"/>
      <c r="G426" s="9" t="s">
        <v>282</v>
      </c>
      <c r="H426" s="9" t="s">
        <v>119</v>
      </c>
      <c r="I426" s="9" t="s">
        <v>25</v>
      </c>
      <c r="J426" s="9" t="s">
        <v>1912</v>
      </c>
      <c r="K426" s="3" t="s">
        <v>283</v>
      </c>
      <c r="L426" s="13" t="s">
        <v>284</v>
      </c>
      <c r="M426" s="15">
        <f t="shared" si="15"/>
        <v>3.228009259259268E-2</v>
      </c>
      <c r="N426">
        <f t="shared" si="16"/>
        <v>10</v>
      </c>
    </row>
    <row r="427" spans="1:14" x14ac:dyDescent="0.3">
      <c r="A427" s="1"/>
      <c r="B427" s="1"/>
      <c r="C427" s="1"/>
      <c r="D427" s="1"/>
      <c r="E427" s="1"/>
      <c r="F427" s="1"/>
      <c r="G427" s="9" t="s">
        <v>285</v>
      </c>
      <c r="H427" s="9" t="s">
        <v>119</v>
      </c>
      <c r="I427" s="9" t="s">
        <v>25</v>
      </c>
      <c r="J427" s="9" t="s">
        <v>1912</v>
      </c>
      <c r="K427" s="3" t="s">
        <v>286</v>
      </c>
      <c r="L427" s="13" t="s">
        <v>287</v>
      </c>
      <c r="M427" s="15">
        <f t="shared" si="15"/>
        <v>4.8344907407407434E-2</v>
      </c>
      <c r="N427">
        <f t="shared" si="16"/>
        <v>10</v>
      </c>
    </row>
    <row r="428" spans="1:14" x14ac:dyDescent="0.3">
      <c r="A428" s="1"/>
      <c r="B428" s="1"/>
      <c r="C428" s="1"/>
      <c r="D428" s="1"/>
      <c r="E428" s="1"/>
      <c r="F428" s="1"/>
      <c r="G428" s="9" t="s">
        <v>288</v>
      </c>
      <c r="H428" s="9" t="s">
        <v>119</v>
      </c>
      <c r="I428" s="9" t="s">
        <v>25</v>
      </c>
      <c r="J428" s="9" t="s">
        <v>1912</v>
      </c>
      <c r="K428" s="3" t="s">
        <v>289</v>
      </c>
      <c r="L428" s="13" t="s">
        <v>290</v>
      </c>
      <c r="M428" s="15">
        <f t="shared" si="15"/>
        <v>2.4293981481481541E-2</v>
      </c>
      <c r="N428">
        <f t="shared" si="16"/>
        <v>12</v>
      </c>
    </row>
    <row r="429" spans="1:14" x14ac:dyDescent="0.3">
      <c r="A429" s="1"/>
      <c r="B429" s="1"/>
      <c r="C429" s="1"/>
      <c r="D429" s="1"/>
      <c r="E429" s="1"/>
      <c r="F429" s="1"/>
      <c r="G429" s="9" t="s">
        <v>291</v>
      </c>
      <c r="H429" s="9" t="s">
        <v>119</v>
      </c>
      <c r="I429" s="9" t="s">
        <v>25</v>
      </c>
      <c r="J429" s="9" t="s">
        <v>1912</v>
      </c>
      <c r="K429" s="3" t="s">
        <v>292</v>
      </c>
      <c r="L429" s="13" t="s">
        <v>293</v>
      </c>
      <c r="M429" s="15">
        <f t="shared" si="15"/>
        <v>2.7847222222222245E-2</v>
      </c>
      <c r="N429">
        <f t="shared" si="16"/>
        <v>12</v>
      </c>
    </row>
    <row r="430" spans="1:14" x14ac:dyDescent="0.3">
      <c r="A430" s="1"/>
      <c r="B430" s="1"/>
      <c r="C430" s="1"/>
      <c r="D430" s="1"/>
      <c r="E430" s="1"/>
      <c r="F430" s="1"/>
      <c r="G430" s="9" t="s">
        <v>294</v>
      </c>
      <c r="H430" s="9" t="s">
        <v>119</v>
      </c>
      <c r="I430" s="9" t="s">
        <v>25</v>
      </c>
      <c r="J430" s="9" t="s">
        <v>1912</v>
      </c>
      <c r="K430" s="3" t="s">
        <v>295</v>
      </c>
      <c r="L430" s="13" t="s">
        <v>296</v>
      </c>
      <c r="M430" s="15">
        <f t="shared" si="15"/>
        <v>2.6759259259259149E-2</v>
      </c>
      <c r="N430">
        <f t="shared" si="16"/>
        <v>13</v>
      </c>
    </row>
    <row r="431" spans="1:14" x14ac:dyDescent="0.3">
      <c r="A431" s="1"/>
      <c r="B431" s="1"/>
      <c r="C431" s="1"/>
      <c r="D431" s="1"/>
      <c r="E431" s="1"/>
      <c r="F431" s="1"/>
      <c r="G431" s="9" t="s">
        <v>297</v>
      </c>
      <c r="H431" s="9" t="s">
        <v>119</v>
      </c>
      <c r="I431" s="9" t="s">
        <v>25</v>
      </c>
      <c r="J431" s="9" t="s">
        <v>1912</v>
      </c>
      <c r="K431" s="3" t="s">
        <v>298</v>
      </c>
      <c r="L431" s="13" t="s">
        <v>299</v>
      </c>
      <c r="M431" s="15">
        <f t="shared" si="15"/>
        <v>2.7662037037036957E-2</v>
      </c>
      <c r="N431">
        <f t="shared" si="16"/>
        <v>14</v>
      </c>
    </row>
    <row r="432" spans="1:14" x14ac:dyDescent="0.3">
      <c r="A432" s="1"/>
      <c r="B432" s="1"/>
      <c r="C432" s="1"/>
      <c r="D432" s="1"/>
      <c r="E432" s="1"/>
      <c r="F432" s="1"/>
      <c r="G432" s="9" t="s">
        <v>693</v>
      </c>
      <c r="H432" s="9" t="s">
        <v>119</v>
      </c>
      <c r="I432" s="9" t="s">
        <v>486</v>
      </c>
      <c r="J432" s="9" t="s">
        <v>1912</v>
      </c>
      <c r="K432" s="3" t="s">
        <v>694</v>
      </c>
      <c r="L432" s="13" t="s">
        <v>695</v>
      </c>
      <c r="M432" s="15">
        <f t="shared" si="15"/>
        <v>3.2187499999999925E-2</v>
      </c>
      <c r="N432">
        <f t="shared" si="16"/>
        <v>8</v>
      </c>
    </row>
    <row r="433" spans="1:14" x14ac:dyDescent="0.3">
      <c r="A433" s="1"/>
      <c r="B433" s="1"/>
      <c r="C433" s="1"/>
      <c r="D433" s="1"/>
      <c r="E433" s="1"/>
      <c r="F433" s="1"/>
      <c r="G433" s="9" t="s">
        <v>696</v>
      </c>
      <c r="H433" s="9" t="s">
        <v>119</v>
      </c>
      <c r="I433" s="9" t="s">
        <v>486</v>
      </c>
      <c r="J433" s="9" t="s">
        <v>1912</v>
      </c>
      <c r="K433" s="3" t="s">
        <v>697</v>
      </c>
      <c r="L433" s="13" t="s">
        <v>698</v>
      </c>
      <c r="M433" s="15">
        <f t="shared" si="15"/>
        <v>1.4641203703703753E-2</v>
      </c>
      <c r="N433">
        <f t="shared" si="16"/>
        <v>9</v>
      </c>
    </row>
    <row r="434" spans="1:14" x14ac:dyDescent="0.3">
      <c r="A434" s="1"/>
      <c r="B434" s="1"/>
      <c r="C434" s="1"/>
      <c r="D434" s="1"/>
      <c r="E434" s="1"/>
      <c r="F434" s="1"/>
      <c r="G434" s="9" t="s">
        <v>699</v>
      </c>
      <c r="H434" s="9" t="s">
        <v>119</v>
      </c>
      <c r="I434" s="9" t="s">
        <v>486</v>
      </c>
      <c r="J434" s="9" t="s">
        <v>1912</v>
      </c>
      <c r="K434" s="3" t="s">
        <v>700</v>
      </c>
      <c r="L434" s="13" t="s">
        <v>701</v>
      </c>
      <c r="M434" s="15">
        <f t="shared" si="15"/>
        <v>1.5069444444444413E-2</v>
      </c>
      <c r="N434">
        <f t="shared" si="16"/>
        <v>10</v>
      </c>
    </row>
    <row r="435" spans="1:14" x14ac:dyDescent="0.3">
      <c r="A435" s="1"/>
      <c r="B435" s="1"/>
      <c r="C435" s="1"/>
      <c r="D435" s="1"/>
      <c r="E435" s="1"/>
      <c r="F435" s="1"/>
      <c r="G435" s="9" t="s">
        <v>702</v>
      </c>
      <c r="H435" s="9" t="s">
        <v>119</v>
      </c>
      <c r="I435" s="9" t="s">
        <v>486</v>
      </c>
      <c r="J435" s="9" t="s">
        <v>1912</v>
      </c>
      <c r="K435" s="3" t="s">
        <v>703</v>
      </c>
      <c r="L435" s="13" t="s">
        <v>704</v>
      </c>
      <c r="M435" s="15">
        <f t="shared" si="15"/>
        <v>3.6192129629629588E-2</v>
      </c>
      <c r="N435">
        <f t="shared" si="16"/>
        <v>12</v>
      </c>
    </row>
    <row r="436" spans="1:14" x14ac:dyDescent="0.3">
      <c r="A436" s="1"/>
      <c r="B436" s="1"/>
      <c r="C436" s="1"/>
      <c r="D436" s="1"/>
      <c r="E436" s="1"/>
      <c r="F436" s="1"/>
      <c r="G436" s="9" t="s">
        <v>705</v>
      </c>
      <c r="H436" s="9" t="s">
        <v>119</v>
      </c>
      <c r="I436" s="9" t="s">
        <v>486</v>
      </c>
      <c r="J436" s="9" t="s">
        <v>1912</v>
      </c>
      <c r="K436" s="3" t="s">
        <v>706</v>
      </c>
      <c r="L436" s="13" t="s">
        <v>707</v>
      </c>
      <c r="M436" s="15">
        <f t="shared" si="15"/>
        <v>3.1145833333333317E-2</v>
      </c>
      <c r="N436">
        <f t="shared" si="16"/>
        <v>12</v>
      </c>
    </row>
    <row r="437" spans="1:14" x14ac:dyDescent="0.3">
      <c r="A437" s="1"/>
      <c r="B437" s="1"/>
      <c r="C437" s="1"/>
      <c r="D437" s="1"/>
      <c r="E437" s="1"/>
      <c r="F437" s="1"/>
      <c r="G437" s="9" t="s">
        <v>708</v>
      </c>
      <c r="H437" s="9" t="s">
        <v>119</v>
      </c>
      <c r="I437" s="9" t="s">
        <v>486</v>
      </c>
      <c r="J437" s="9" t="s">
        <v>1912</v>
      </c>
      <c r="K437" s="3" t="s">
        <v>709</v>
      </c>
      <c r="L437" s="13" t="s">
        <v>710</v>
      </c>
      <c r="M437" s="15">
        <f t="shared" si="15"/>
        <v>2.0312499999999956E-2</v>
      </c>
      <c r="N437">
        <f t="shared" si="16"/>
        <v>13</v>
      </c>
    </row>
    <row r="438" spans="1:14" x14ac:dyDescent="0.3">
      <c r="A438" s="1"/>
      <c r="B438" s="1"/>
      <c r="C438" s="1"/>
      <c r="D438" s="1"/>
      <c r="E438" s="1"/>
      <c r="F438" s="1"/>
      <c r="G438" s="9" t="s">
        <v>711</v>
      </c>
      <c r="H438" s="9" t="s">
        <v>119</v>
      </c>
      <c r="I438" s="9" t="s">
        <v>486</v>
      </c>
      <c r="J438" s="9" t="s">
        <v>1912</v>
      </c>
      <c r="K438" s="3" t="s">
        <v>712</v>
      </c>
      <c r="L438" s="13" t="s">
        <v>713</v>
      </c>
      <c r="M438" s="15">
        <f t="shared" si="15"/>
        <v>1.5486111111111089E-2</v>
      </c>
      <c r="N438">
        <f t="shared" si="16"/>
        <v>13</v>
      </c>
    </row>
    <row r="439" spans="1:14" x14ac:dyDescent="0.3">
      <c r="A439" s="1"/>
      <c r="B439" s="1"/>
      <c r="C439" s="1"/>
      <c r="D439" s="1"/>
      <c r="E439" s="1"/>
      <c r="F439" s="1"/>
      <c r="G439" s="9" t="s">
        <v>714</v>
      </c>
      <c r="H439" s="9" t="s">
        <v>119</v>
      </c>
      <c r="I439" s="9" t="s">
        <v>486</v>
      </c>
      <c r="J439" s="9" t="s">
        <v>1912</v>
      </c>
      <c r="K439" s="3" t="s">
        <v>715</v>
      </c>
      <c r="L439" s="13" t="s">
        <v>716</v>
      </c>
      <c r="M439" s="15">
        <f t="shared" si="15"/>
        <v>2.415509259259252E-2</v>
      </c>
      <c r="N439">
        <f t="shared" si="16"/>
        <v>13</v>
      </c>
    </row>
    <row r="440" spans="1:14" x14ac:dyDescent="0.3">
      <c r="A440" s="1"/>
      <c r="B440" s="1"/>
      <c r="C440" s="1"/>
      <c r="D440" s="1"/>
      <c r="E440" s="1"/>
      <c r="F440" s="1"/>
      <c r="G440" s="9" t="s">
        <v>1103</v>
      </c>
      <c r="H440" s="9" t="s">
        <v>119</v>
      </c>
      <c r="I440" s="9" t="s">
        <v>926</v>
      </c>
      <c r="J440" s="9" t="s">
        <v>1912</v>
      </c>
      <c r="K440" s="3" t="s">
        <v>1104</v>
      </c>
      <c r="L440" s="13" t="s">
        <v>1105</v>
      </c>
      <c r="M440" s="15">
        <f t="shared" si="15"/>
        <v>2.2152777777777743E-2</v>
      </c>
      <c r="N440">
        <f t="shared" si="16"/>
        <v>9</v>
      </c>
    </row>
    <row r="441" spans="1:14" x14ac:dyDescent="0.3">
      <c r="A441" s="1"/>
      <c r="B441" s="1"/>
      <c r="C441" s="1"/>
      <c r="D441" s="1"/>
      <c r="E441" s="1"/>
      <c r="F441" s="1"/>
      <c r="G441" s="9" t="s">
        <v>1106</v>
      </c>
      <c r="H441" s="9" t="s">
        <v>119</v>
      </c>
      <c r="I441" s="9" t="s">
        <v>926</v>
      </c>
      <c r="J441" s="9" t="s">
        <v>1912</v>
      </c>
      <c r="K441" s="3" t="s">
        <v>1107</v>
      </c>
      <c r="L441" s="13" t="s">
        <v>1108</v>
      </c>
      <c r="M441" s="15">
        <f t="shared" si="15"/>
        <v>1.9629629629629608E-2</v>
      </c>
      <c r="N441">
        <f t="shared" si="16"/>
        <v>10</v>
      </c>
    </row>
    <row r="442" spans="1:14" x14ac:dyDescent="0.3">
      <c r="A442" s="1"/>
      <c r="B442" s="1"/>
      <c r="C442" s="1"/>
      <c r="D442" s="1"/>
      <c r="E442" s="1"/>
      <c r="F442" s="1"/>
      <c r="G442" s="9" t="s">
        <v>1109</v>
      </c>
      <c r="H442" s="9" t="s">
        <v>119</v>
      </c>
      <c r="I442" s="9" t="s">
        <v>926</v>
      </c>
      <c r="J442" s="9" t="s">
        <v>1912</v>
      </c>
      <c r="K442" s="3" t="s">
        <v>1110</v>
      </c>
      <c r="L442" s="13" t="s">
        <v>1111</v>
      </c>
      <c r="M442" s="15">
        <f t="shared" si="15"/>
        <v>2.4351851851851847E-2</v>
      </c>
      <c r="N442">
        <f t="shared" si="16"/>
        <v>13</v>
      </c>
    </row>
    <row r="443" spans="1:14" x14ac:dyDescent="0.3">
      <c r="A443" s="1"/>
      <c r="B443" s="1"/>
      <c r="C443" s="1"/>
      <c r="D443" s="1"/>
      <c r="E443" s="1"/>
      <c r="F443" s="1"/>
      <c r="G443" s="9" t="s">
        <v>1112</v>
      </c>
      <c r="H443" s="9" t="s">
        <v>119</v>
      </c>
      <c r="I443" s="9" t="s">
        <v>926</v>
      </c>
      <c r="J443" s="9" t="s">
        <v>1912</v>
      </c>
      <c r="K443" s="3" t="s">
        <v>1113</v>
      </c>
      <c r="L443" s="13" t="s">
        <v>1114</v>
      </c>
      <c r="M443" s="15">
        <f t="shared" si="15"/>
        <v>3.1793981481481604E-2</v>
      </c>
      <c r="N443">
        <f t="shared" si="16"/>
        <v>13</v>
      </c>
    </row>
    <row r="444" spans="1:14" x14ac:dyDescent="0.3">
      <c r="A444" s="1"/>
      <c r="B444" s="1"/>
      <c r="C444" s="1"/>
      <c r="D444" s="1"/>
      <c r="E444" s="1"/>
      <c r="F444" s="1"/>
      <c r="G444" s="9" t="s">
        <v>1115</v>
      </c>
      <c r="H444" s="9" t="s">
        <v>119</v>
      </c>
      <c r="I444" s="9" t="s">
        <v>926</v>
      </c>
      <c r="J444" s="9" t="s">
        <v>1912</v>
      </c>
      <c r="K444" s="3" t="s">
        <v>1116</v>
      </c>
      <c r="L444" s="13" t="s">
        <v>1117</v>
      </c>
      <c r="M444" s="15">
        <f t="shared" si="15"/>
        <v>2.5150462962962972E-2</v>
      </c>
      <c r="N444">
        <f t="shared" si="16"/>
        <v>16</v>
      </c>
    </row>
    <row r="445" spans="1:14" x14ac:dyDescent="0.3">
      <c r="A445" s="1"/>
      <c r="B445" s="1"/>
      <c r="C445" s="1"/>
      <c r="D445" s="1"/>
      <c r="E445" s="1"/>
      <c r="F445" s="1"/>
      <c r="G445" s="9" t="s">
        <v>1535</v>
      </c>
      <c r="H445" s="9" t="s">
        <v>119</v>
      </c>
      <c r="I445" s="9" t="s">
        <v>1296</v>
      </c>
      <c r="J445" s="9" t="s">
        <v>1912</v>
      </c>
      <c r="K445" s="3" t="s">
        <v>1536</v>
      </c>
      <c r="L445" s="13" t="s">
        <v>1537</v>
      </c>
      <c r="M445" s="15">
        <f t="shared" si="15"/>
        <v>3.2604166666666712E-2</v>
      </c>
      <c r="N445">
        <f t="shared" si="16"/>
        <v>9</v>
      </c>
    </row>
    <row r="446" spans="1:14" x14ac:dyDescent="0.3">
      <c r="A446" s="1"/>
      <c r="B446" s="1"/>
      <c r="C446" s="1"/>
      <c r="D446" s="1"/>
      <c r="E446" s="1"/>
      <c r="F446" s="1"/>
      <c r="G446" s="9" t="s">
        <v>1538</v>
      </c>
      <c r="H446" s="9" t="s">
        <v>119</v>
      </c>
      <c r="I446" s="9" t="s">
        <v>1296</v>
      </c>
      <c r="J446" s="9" t="s">
        <v>1912</v>
      </c>
      <c r="K446" s="3" t="s">
        <v>1539</v>
      </c>
      <c r="L446" s="13" t="s">
        <v>1540</v>
      </c>
      <c r="M446" s="15">
        <f t="shared" si="15"/>
        <v>1.8599537037037095E-2</v>
      </c>
      <c r="N446">
        <f t="shared" si="16"/>
        <v>13</v>
      </c>
    </row>
    <row r="447" spans="1:14" x14ac:dyDescent="0.3">
      <c r="A447" s="1"/>
      <c r="B447" s="1"/>
      <c r="C447" s="1"/>
      <c r="D447" s="1"/>
      <c r="E447" s="9" t="s">
        <v>300</v>
      </c>
      <c r="F447" s="9" t="s">
        <v>22</v>
      </c>
      <c r="G447" s="11" t="s">
        <v>19</v>
      </c>
      <c r="H447" s="2"/>
      <c r="I447" s="2"/>
      <c r="J447" s="7"/>
      <c r="K447" s="4"/>
      <c r="L447" s="12"/>
    </row>
    <row r="448" spans="1:14" x14ac:dyDescent="0.3">
      <c r="A448" s="1"/>
      <c r="B448" s="1"/>
      <c r="C448" s="1"/>
      <c r="D448" s="1"/>
      <c r="E448" s="1"/>
      <c r="F448" s="1"/>
      <c r="G448" s="9" t="s">
        <v>301</v>
      </c>
      <c r="H448" s="9" t="s">
        <v>119</v>
      </c>
      <c r="I448" s="9" t="s">
        <v>25</v>
      </c>
      <c r="J448" s="9" t="s">
        <v>1912</v>
      </c>
      <c r="K448" s="3" t="s">
        <v>302</v>
      </c>
      <c r="L448" s="13" t="s">
        <v>303</v>
      </c>
      <c r="M448" s="15">
        <f t="shared" si="15"/>
        <v>1.5497685185185184E-2</v>
      </c>
      <c r="N448">
        <f t="shared" si="16"/>
        <v>8</v>
      </c>
    </row>
    <row r="449" spans="1:14" x14ac:dyDescent="0.3">
      <c r="A449" s="1"/>
      <c r="B449" s="1"/>
      <c r="C449" s="1"/>
      <c r="D449" s="1"/>
      <c r="E449" s="1"/>
      <c r="F449" s="1"/>
      <c r="G449" s="9" t="s">
        <v>304</v>
      </c>
      <c r="H449" s="9" t="s">
        <v>119</v>
      </c>
      <c r="I449" s="9" t="s">
        <v>25</v>
      </c>
      <c r="J449" s="9" t="s">
        <v>1912</v>
      </c>
      <c r="K449" s="3" t="s">
        <v>305</v>
      </c>
      <c r="L449" s="13" t="s">
        <v>306</v>
      </c>
      <c r="M449" s="15">
        <f t="shared" si="15"/>
        <v>2.2488425925925926E-2</v>
      </c>
      <c r="N449">
        <f t="shared" si="16"/>
        <v>11</v>
      </c>
    </row>
    <row r="450" spans="1:14" x14ac:dyDescent="0.3">
      <c r="A450" s="1"/>
      <c r="B450" s="1"/>
      <c r="C450" s="1"/>
      <c r="D450" s="1"/>
      <c r="E450" s="1"/>
      <c r="F450" s="1"/>
      <c r="G450" s="9" t="s">
        <v>307</v>
      </c>
      <c r="H450" s="9" t="s">
        <v>119</v>
      </c>
      <c r="I450" s="9" t="s">
        <v>25</v>
      </c>
      <c r="J450" s="9" t="s">
        <v>1912</v>
      </c>
      <c r="K450" s="3" t="s">
        <v>308</v>
      </c>
      <c r="L450" s="13" t="s">
        <v>309</v>
      </c>
      <c r="M450" s="15">
        <f t="shared" si="15"/>
        <v>2.5115740740740744E-2</v>
      </c>
      <c r="N450">
        <f t="shared" si="16"/>
        <v>11</v>
      </c>
    </row>
    <row r="451" spans="1:14" x14ac:dyDescent="0.3">
      <c r="A451" s="1"/>
      <c r="B451" s="1"/>
      <c r="C451" s="1"/>
      <c r="D451" s="1"/>
      <c r="E451" s="1"/>
      <c r="F451" s="1"/>
      <c r="G451" s="9" t="s">
        <v>310</v>
      </c>
      <c r="H451" s="9" t="s">
        <v>119</v>
      </c>
      <c r="I451" s="9" t="s">
        <v>25</v>
      </c>
      <c r="J451" s="9" t="s">
        <v>1912</v>
      </c>
      <c r="K451" s="3" t="s">
        <v>311</v>
      </c>
      <c r="L451" s="13" t="s">
        <v>312</v>
      </c>
      <c r="M451" s="15">
        <f t="shared" ref="M451:M514" si="17">L451-K451</f>
        <v>1.4490740740740637E-2</v>
      </c>
      <c r="N451">
        <f t="shared" ref="N451:N514" si="18">HOUR(K451)</f>
        <v>12</v>
      </c>
    </row>
    <row r="452" spans="1:14" x14ac:dyDescent="0.3">
      <c r="A452" s="1"/>
      <c r="B452" s="1"/>
      <c r="C452" s="1"/>
      <c r="D452" s="1"/>
      <c r="E452" s="1"/>
      <c r="F452" s="1"/>
      <c r="G452" s="9" t="s">
        <v>313</v>
      </c>
      <c r="H452" s="9" t="s">
        <v>119</v>
      </c>
      <c r="I452" s="9" t="s">
        <v>25</v>
      </c>
      <c r="J452" s="9" t="s">
        <v>1912</v>
      </c>
      <c r="K452" s="3" t="s">
        <v>314</v>
      </c>
      <c r="L452" s="13" t="s">
        <v>315</v>
      </c>
      <c r="M452" s="15">
        <f t="shared" si="17"/>
        <v>1.4965277777777786E-2</v>
      </c>
      <c r="N452">
        <f t="shared" si="18"/>
        <v>13</v>
      </c>
    </row>
    <row r="453" spans="1:14" x14ac:dyDescent="0.3">
      <c r="A453" s="1"/>
      <c r="B453" s="1"/>
      <c r="C453" s="1"/>
      <c r="D453" s="1"/>
      <c r="E453" s="1"/>
      <c r="F453" s="1"/>
      <c r="G453" s="9" t="s">
        <v>316</v>
      </c>
      <c r="H453" s="9" t="s">
        <v>119</v>
      </c>
      <c r="I453" s="9" t="s">
        <v>25</v>
      </c>
      <c r="J453" s="9" t="s">
        <v>1912</v>
      </c>
      <c r="K453" s="3" t="s">
        <v>317</v>
      </c>
      <c r="L453" s="13" t="s">
        <v>318</v>
      </c>
      <c r="M453" s="15">
        <f t="shared" si="17"/>
        <v>3.4988425925925881E-2</v>
      </c>
      <c r="N453">
        <f t="shared" si="18"/>
        <v>14</v>
      </c>
    </row>
    <row r="454" spans="1:14" x14ac:dyDescent="0.3">
      <c r="A454" s="1"/>
      <c r="B454" s="1"/>
      <c r="C454" s="1"/>
      <c r="D454" s="1"/>
      <c r="E454" s="1"/>
      <c r="F454" s="1"/>
      <c r="G454" s="9" t="s">
        <v>717</v>
      </c>
      <c r="H454" s="9" t="s">
        <v>119</v>
      </c>
      <c r="I454" s="9" t="s">
        <v>486</v>
      </c>
      <c r="J454" s="9" t="s">
        <v>1912</v>
      </c>
      <c r="K454" s="3" t="s">
        <v>718</v>
      </c>
      <c r="L454" s="13" t="s">
        <v>719</v>
      </c>
      <c r="M454" s="15">
        <f t="shared" si="17"/>
        <v>2.1689814814814856E-2</v>
      </c>
      <c r="N454">
        <f t="shared" si="18"/>
        <v>9</v>
      </c>
    </row>
    <row r="455" spans="1:14" x14ac:dyDescent="0.3">
      <c r="A455" s="1"/>
      <c r="B455" s="1"/>
      <c r="C455" s="1"/>
      <c r="D455" s="1"/>
      <c r="E455" s="1"/>
      <c r="F455" s="1"/>
      <c r="G455" s="9" t="s">
        <v>720</v>
      </c>
      <c r="H455" s="9" t="s">
        <v>119</v>
      </c>
      <c r="I455" s="9" t="s">
        <v>486</v>
      </c>
      <c r="J455" s="9" t="s">
        <v>1912</v>
      </c>
      <c r="K455" s="3" t="s">
        <v>721</v>
      </c>
      <c r="L455" s="13" t="s">
        <v>722</v>
      </c>
      <c r="M455" s="15">
        <f t="shared" si="17"/>
        <v>1.7488425925925977E-2</v>
      </c>
      <c r="N455">
        <f t="shared" si="18"/>
        <v>10</v>
      </c>
    </row>
    <row r="456" spans="1:14" x14ac:dyDescent="0.3">
      <c r="A456" s="1"/>
      <c r="B456" s="1"/>
      <c r="C456" s="1"/>
      <c r="D456" s="1"/>
      <c r="E456" s="1"/>
      <c r="F456" s="1"/>
      <c r="G456" s="9" t="s">
        <v>723</v>
      </c>
      <c r="H456" s="9" t="s">
        <v>119</v>
      </c>
      <c r="I456" s="9" t="s">
        <v>486</v>
      </c>
      <c r="J456" s="9" t="s">
        <v>1912</v>
      </c>
      <c r="K456" s="3" t="s">
        <v>724</v>
      </c>
      <c r="L456" s="13" t="s">
        <v>725</v>
      </c>
      <c r="M456" s="15">
        <f t="shared" si="17"/>
        <v>3.1087962962962901E-2</v>
      </c>
      <c r="N456">
        <f t="shared" si="18"/>
        <v>12</v>
      </c>
    </row>
    <row r="457" spans="1:14" x14ac:dyDescent="0.3">
      <c r="A457" s="1"/>
      <c r="B457" s="1"/>
      <c r="C457" s="1"/>
      <c r="D457" s="1"/>
      <c r="E457" s="1"/>
      <c r="F457" s="1"/>
      <c r="G457" s="9" t="s">
        <v>726</v>
      </c>
      <c r="H457" s="9" t="s">
        <v>119</v>
      </c>
      <c r="I457" s="9" t="s">
        <v>486</v>
      </c>
      <c r="J457" s="9" t="s">
        <v>1912</v>
      </c>
      <c r="K457" s="3" t="s">
        <v>727</v>
      </c>
      <c r="L457" s="13" t="s">
        <v>728</v>
      </c>
      <c r="M457" s="15">
        <f t="shared" si="17"/>
        <v>3.3622685185185186E-2</v>
      </c>
      <c r="N457">
        <f t="shared" si="18"/>
        <v>12</v>
      </c>
    </row>
    <row r="458" spans="1:14" x14ac:dyDescent="0.3">
      <c r="A458" s="1"/>
      <c r="B458" s="1"/>
      <c r="C458" s="1"/>
      <c r="D458" s="1"/>
      <c r="E458" s="1"/>
      <c r="F458" s="1"/>
      <c r="G458" s="9" t="s">
        <v>1541</v>
      </c>
      <c r="H458" s="9" t="s">
        <v>119</v>
      </c>
      <c r="I458" s="9" t="s">
        <v>1296</v>
      </c>
      <c r="J458" s="9" t="s">
        <v>1912</v>
      </c>
      <c r="K458" s="3" t="s">
        <v>1542</v>
      </c>
      <c r="L458" s="13" t="s">
        <v>1543</v>
      </c>
      <c r="M458" s="15">
        <f t="shared" si="17"/>
        <v>1.7152777777777795E-2</v>
      </c>
      <c r="N458">
        <f t="shared" si="18"/>
        <v>6</v>
      </c>
    </row>
    <row r="459" spans="1:14" x14ac:dyDescent="0.3">
      <c r="A459" s="1"/>
      <c r="B459" s="1"/>
      <c r="C459" s="1"/>
      <c r="D459" s="1"/>
      <c r="E459" s="1"/>
      <c r="F459" s="1"/>
      <c r="G459" s="9" t="s">
        <v>1118</v>
      </c>
      <c r="H459" s="9" t="s">
        <v>119</v>
      </c>
      <c r="I459" s="9" t="s">
        <v>926</v>
      </c>
      <c r="J459" s="9" t="s">
        <v>1912</v>
      </c>
      <c r="K459" s="3" t="s">
        <v>1119</v>
      </c>
      <c r="L459" s="13" t="s">
        <v>1120</v>
      </c>
      <c r="M459" s="15">
        <f t="shared" si="17"/>
        <v>2.2384259259259243E-2</v>
      </c>
      <c r="N459">
        <f t="shared" si="18"/>
        <v>9</v>
      </c>
    </row>
    <row r="460" spans="1:14" x14ac:dyDescent="0.3">
      <c r="A460" s="1"/>
      <c r="B460" s="1"/>
      <c r="C460" s="1"/>
      <c r="D460" s="1"/>
      <c r="E460" s="1"/>
      <c r="F460" s="1"/>
      <c r="G460" s="9" t="s">
        <v>1121</v>
      </c>
      <c r="H460" s="9" t="s">
        <v>119</v>
      </c>
      <c r="I460" s="9" t="s">
        <v>926</v>
      </c>
      <c r="J460" s="9" t="s">
        <v>1912</v>
      </c>
      <c r="K460" s="3" t="s">
        <v>1122</v>
      </c>
      <c r="L460" s="13" t="s">
        <v>1123</v>
      </c>
      <c r="M460" s="15">
        <f t="shared" si="17"/>
        <v>2.886574074074072E-2</v>
      </c>
      <c r="N460">
        <f t="shared" si="18"/>
        <v>11</v>
      </c>
    </row>
    <row r="461" spans="1:14" x14ac:dyDescent="0.3">
      <c r="A461" s="1"/>
      <c r="B461" s="1"/>
      <c r="C461" s="1"/>
      <c r="D461" s="1"/>
      <c r="E461" s="1"/>
      <c r="F461" s="1"/>
      <c r="G461" s="9" t="s">
        <v>1124</v>
      </c>
      <c r="H461" s="9" t="s">
        <v>119</v>
      </c>
      <c r="I461" s="9" t="s">
        <v>926</v>
      </c>
      <c r="J461" s="9" t="s">
        <v>1912</v>
      </c>
      <c r="K461" s="3" t="s">
        <v>1125</v>
      </c>
      <c r="L461" s="13" t="s">
        <v>1126</v>
      </c>
      <c r="M461" s="15">
        <f t="shared" si="17"/>
        <v>3.5335648148148213E-2</v>
      </c>
      <c r="N461">
        <f t="shared" si="18"/>
        <v>11</v>
      </c>
    </row>
    <row r="462" spans="1:14" x14ac:dyDescent="0.3">
      <c r="A462" s="1"/>
      <c r="B462" s="1"/>
      <c r="C462" s="1"/>
      <c r="D462" s="1"/>
      <c r="E462" s="1"/>
      <c r="F462" s="1"/>
      <c r="G462" s="9" t="s">
        <v>1127</v>
      </c>
      <c r="H462" s="9" t="s">
        <v>119</v>
      </c>
      <c r="I462" s="9" t="s">
        <v>926</v>
      </c>
      <c r="J462" s="9" t="s">
        <v>1912</v>
      </c>
      <c r="K462" s="3" t="s">
        <v>1128</v>
      </c>
      <c r="L462" s="13" t="s">
        <v>1129</v>
      </c>
      <c r="M462" s="15">
        <f t="shared" si="17"/>
        <v>3.0937499999999951E-2</v>
      </c>
      <c r="N462">
        <f t="shared" si="18"/>
        <v>12</v>
      </c>
    </row>
    <row r="463" spans="1:14" x14ac:dyDescent="0.3">
      <c r="A463" s="1"/>
      <c r="B463" s="1"/>
      <c r="C463" s="1"/>
      <c r="D463" s="1"/>
      <c r="E463" s="1"/>
      <c r="F463" s="1"/>
      <c r="G463" s="9" t="s">
        <v>1130</v>
      </c>
      <c r="H463" s="9" t="s">
        <v>119</v>
      </c>
      <c r="I463" s="9" t="s">
        <v>926</v>
      </c>
      <c r="J463" s="9" t="s">
        <v>1912</v>
      </c>
      <c r="K463" s="3" t="s">
        <v>1131</v>
      </c>
      <c r="L463" s="13" t="s">
        <v>1132</v>
      </c>
      <c r="M463" s="15">
        <f t="shared" si="17"/>
        <v>3.6006944444444411E-2</v>
      </c>
      <c r="N463">
        <f t="shared" si="18"/>
        <v>13</v>
      </c>
    </row>
    <row r="464" spans="1:14" x14ac:dyDescent="0.3">
      <c r="A464" s="1"/>
      <c r="B464" s="1"/>
      <c r="C464" s="1"/>
      <c r="D464" s="1"/>
      <c r="E464" s="1"/>
      <c r="F464" s="1"/>
      <c r="G464" s="9" t="s">
        <v>1133</v>
      </c>
      <c r="H464" s="9" t="s">
        <v>119</v>
      </c>
      <c r="I464" s="9" t="s">
        <v>926</v>
      </c>
      <c r="J464" s="9" t="s">
        <v>1912</v>
      </c>
      <c r="K464" s="3" t="s">
        <v>1134</v>
      </c>
      <c r="L464" s="13" t="s">
        <v>1135</v>
      </c>
      <c r="M464" s="15">
        <f t="shared" si="17"/>
        <v>5.2546296296296369E-2</v>
      </c>
      <c r="N464">
        <f t="shared" si="18"/>
        <v>13</v>
      </c>
    </row>
    <row r="465" spans="1:14" x14ac:dyDescent="0.3">
      <c r="A465" s="1"/>
      <c r="B465" s="1"/>
      <c r="C465" s="1"/>
      <c r="D465" s="1"/>
      <c r="E465" s="1"/>
      <c r="F465" s="1"/>
      <c r="G465" s="9" t="s">
        <v>1136</v>
      </c>
      <c r="H465" s="9" t="s">
        <v>119</v>
      </c>
      <c r="I465" s="9" t="s">
        <v>926</v>
      </c>
      <c r="J465" s="9" t="s">
        <v>1912</v>
      </c>
      <c r="K465" s="3" t="s">
        <v>1137</v>
      </c>
      <c r="L465" s="13" t="s">
        <v>1138</v>
      </c>
      <c r="M465" s="15">
        <f t="shared" si="17"/>
        <v>3.5868055555555611E-2</v>
      </c>
      <c r="N465">
        <f t="shared" si="18"/>
        <v>14</v>
      </c>
    </row>
    <row r="466" spans="1:14" x14ac:dyDescent="0.3">
      <c r="A466" s="1"/>
      <c r="B466" s="1"/>
      <c r="C466" s="1"/>
      <c r="D466" s="1"/>
      <c r="E466" s="1"/>
      <c r="F466" s="1"/>
      <c r="G466" s="9" t="s">
        <v>1544</v>
      </c>
      <c r="H466" s="9" t="s">
        <v>119</v>
      </c>
      <c r="I466" s="9" t="s">
        <v>1296</v>
      </c>
      <c r="J466" s="9" t="s">
        <v>1912</v>
      </c>
      <c r="K466" s="3" t="s">
        <v>1545</v>
      </c>
      <c r="L466" s="13" t="s">
        <v>1546</v>
      </c>
      <c r="M466" s="15">
        <f t="shared" si="17"/>
        <v>1.9675925925925875E-2</v>
      </c>
      <c r="N466">
        <f t="shared" si="18"/>
        <v>8</v>
      </c>
    </row>
    <row r="467" spans="1:14" x14ac:dyDescent="0.3">
      <c r="A467" s="1"/>
      <c r="B467" s="1"/>
      <c r="C467" s="1"/>
      <c r="D467" s="1"/>
      <c r="E467" s="1"/>
      <c r="F467" s="1"/>
      <c r="G467" s="9" t="s">
        <v>1547</v>
      </c>
      <c r="H467" s="9" t="s">
        <v>119</v>
      </c>
      <c r="I467" s="9" t="s">
        <v>1296</v>
      </c>
      <c r="J467" s="9" t="s">
        <v>1912</v>
      </c>
      <c r="K467" s="3" t="s">
        <v>1548</v>
      </c>
      <c r="L467" s="13" t="s">
        <v>1549</v>
      </c>
      <c r="M467" s="15">
        <f t="shared" si="17"/>
        <v>2.2326388888888826E-2</v>
      </c>
      <c r="N467">
        <f t="shared" si="18"/>
        <v>8</v>
      </c>
    </row>
    <row r="468" spans="1:14" x14ac:dyDescent="0.3">
      <c r="A468" s="1"/>
      <c r="B468" s="1"/>
      <c r="C468" s="1"/>
      <c r="D468" s="1"/>
      <c r="E468" s="1"/>
      <c r="F468" s="1"/>
      <c r="G468" s="9" t="s">
        <v>1550</v>
      </c>
      <c r="H468" s="9" t="s">
        <v>119</v>
      </c>
      <c r="I468" s="9" t="s">
        <v>1296</v>
      </c>
      <c r="J468" s="9" t="s">
        <v>1912</v>
      </c>
      <c r="K468" s="3" t="s">
        <v>1551</v>
      </c>
      <c r="L468" s="13" t="s">
        <v>1552</v>
      </c>
      <c r="M468" s="15">
        <f t="shared" si="17"/>
        <v>3.6851851851851858E-2</v>
      </c>
      <c r="N468">
        <f t="shared" si="18"/>
        <v>9</v>
      </c>
    </row>
    <row r="469" spans="1:14" x14ac:dyDescent="0.3">
      <c r="A469" s="1"/>
      <c r="B469" s="1"/>
      <c r="C469" s="1"/>
      <c r="D469" s="1"/>
      <c r="E469" s="1"/>
      <c r="F469" s="1"/>
      <c r="G469" s="9" t="s">
        <v>1553</v>
      </c>
      <c r="H469" s="9" t="s">
        <v>119</v>
      </c>
      <c r="I469" s="9" t="s">
        <v>1296</v>
      </c>
      <c r="J469" s="9" t="s">
        <v>1912</v>
      </c>
      <c r="K469" s="3" t="s">
        <v>1554</v>
      </c>
      <c r="L469" s="13" t="s">
        <v>1555</v>
      </c>
      <c r="M469" s="15">
        <f t="shared" si="17"/>
        <v>3.7476851851851789E-2</v>
      </c>
      <c r="N469">
        <f t="shared" si="18"/>
        <v>10</v>
      </c>
    </row>
    <row r="470" spans="1:14" x14ac:dyDescent="0.3">
      <c r="A470" s="1"/>
      <c r="B470" s="1"/>
      <c r="C470" s="1"/>
      <c r="D470" s="1"/>
      <c r="E470" s="1"/>
      <c r="F470" s="1"/>
      <c r="G470" s="9" t="s">
        <v>1556</v>
      </c>
      <c r="H470" s="9" t="s">
        <v>119</v>
      </c>
      <c r="I470" s="9" t="s">
        <v>1296</v>
      </c>
      <c r="J470" s="9" t="s">
        <v>1912</v>
      </c>
      <c r="K470" s="3" t="s">
        <v>1557</v>
      </c>
      <c r="L470" s="13" t="s">
        <v>1558</v>
      </c>
      <c r="M470" s="15">
        <f t="shared" si="17"/>
        <v>1.9351851851851953E-2</v>
      </c>
      <c r="N470">
        <f t="shared" si="18"/>
        <v>11</v>
      </c>
    </row>
    <row r="471" spans="1:14" x14ac:dyDescent="0.3">
      <c r="A471" s="1"/>
      <c r="B471" s="1"/>
      <c r="C471" s="1"/>
      <c r="D471" s="1"/>
      <c r="E471" s="1"/>
      <c r="F471" s="1"/>
      <c r="G471" s="9" t="s">
        <v>1559</v>
      </c>
      <c r="H471" s="9" t="s">
        <v>119</v>
      </c>
      <c r="I471" s="9" t="s">
        <v>1296</v>
      </c>
      <c r="J471" s="9" t="s">
        <v>1912</v>
      </c>
      <c r="K471" s="3" t="s">
        <v>1560</v>
      </c>
      <c r="L471" s="13" t="s">
        <v>1561</v>
      </c>
      <c r="M471" s="15">
        <f t="shared" si="17"/>
        <v>2.5312500000000071E-2</v>
      </c>
      <c r="N471">
        <f t="shared" si="18"/>
        <v>11</v>
      </c>
    </row>
    <row r="472" spans="1:14" x14ac:dyDescent="0.3">
      <c r="A472" s="1"/>
      <c r="B472" s="1"/>
      <c r="C472" s="1"/>
      <c r="D472" s="1"/>
      <c r="E472" s="1"/>
      <c r="F472" s="1"/>
      <c r="G472" s="9" t="s">
        <v>1562</v>
      </c>
      <c r="H472" s="9" t="s">
        <v>119</v>
      </c>
      <c r="I472" s="9" t="s">
        <v>1296</v>
      </c>
      <c r="J472" s="9" t="s">
        <v>1912</v>
      </c>
      <c r="K472" s="3" t="s">
        <v>1563</v>
      </c>
      <c r="L472" s="13" t="s">
        <v>1564</v>
      </c>
      <c r="M472" s="15">
        <f t="shared" si="17"/>
        <v>2.6608796296296366E-2</v>
      </c>
      <c r="N472">
        <f t="shared" si="18"/>
        <v>11</v>
      </c>
    </row>
    <row r="473" spans="1:14" x14ac:dyDescent="0.3">
      <c r="A473" s="1"/>
      <c r="B473" s="1"/>
      <c r="C473" s="1"/>
      <c r="D473" s="1"/>
      <c r="E473" s="1"/>
      <c r="F473" s="1"/>
      <c r="G473" s="9" t="s">
        <v>1565</v>
      </c>
      <c r="H473" s="9" t="s">
        <v>119</v>
      </c>
      <c r="I473" s="9" t="s">
        <v>1296</v>
      </c>
      <c r="J473" s="9" t="s">
        <v>1912</v>
      </c>
      <c r="K473" s="3" t="s">
        <v>1566</v>
      </c>
      <c r="L473" s="13" t="s">
        <v>1567</v>
      </c>
      <c r="M473" s="15">
        <f t="shared" si="17"/>
        <v>1.504629629629628E-2</v>
      </c>
      <c r="N473">
        <f t="shared" si="18"/>
        <v>13</v>
      </c>
    </row>
    <row r="474" spans="1:14" x14ac:dyDescent="0.3">
      <c r="A474" s="1"/>
      <c r="B474" s="1"/>
      <c r="C474" s="1"/>
      <c r="D474" s="1"/>
      <c r="E474" s="1"/>
      <c r="F474" s="1"/>
      <c r="G474" s="9" t="s">
        <v>1568</v>
      </c>
      <c r="H474" s="9" t="s">
        <v>119</v>
      </c>
      <c r="I474" s="9" t="s">
        <v>1296</v>
      </c>
      <c r="J474" s="9" t="s">
        <v>1912</v>
      </c>
      <c r="K474" s="3" t="s">
        <v>1569</v>
      </c>
      <c r="L474" s="13" t="s">
        <v>1570</v>
      </c>
      <c r="M474" s="15">
        <f t="shared" si="17"/>
        <v>2.4386574074074074E-2</v>
      </c>
      <c r="N474">
        <f t="shared" si="18"/>
        <v>14</v>
      </c>
    </row>
    <row r="475" spans="1:14" x14ac:dyDescent="0.3">
      <c r="A475" s="1"/>
      <c r="B475" s="1"/>
      <c r="C475" s="9" t="s">
        <v>153</v>
      </c>
      <c r="D475" s="9" t="s">
        <v>154</v>
      </c>
      <c r="E475" s="9" t="s">
        <v>154</v>
      </c>
      <c r="F475" s="9" t="s">
        <v>22</v>
      </c>
      <c r="G475" s="11" t="s">
        <v>19</v>
      </c>
      <c r="H475" s="2"/>
      <c r="I475" s="2"/>
      <c r="J475" s="7"/>
      <c r="K475" s="4"/>
      <c r="L475" s="12"/>
    </row>
    <row r="476" spans="1:14" x14ac:dyDescent="0.3">
      <c r="A476" s="1"/>
      <c r="B476" s="1"/>
      <c r="C476" s="1"/>
      <c r="D476" s="1"/>
      <c r="E476" s="1"/>
      <c r="F476" s="1"/>
      <c r="G476" s="9" t="s">
        <v>319</v>
      </c>
      <c r="H476" s="9" t="s">
        <v>119</v>
      </c>
      <c r="I476" s="9" t="s">
        <v>25</v>
      </c>
      <c r="J476" s="9" t="s">
        <v>1912</v>
      </c>
      <c r="K476" s="3" t="s">
        <v>320</v>
      </c>
      <c r="L476" s="13" t="s">
        <v>321</v>
      </c>
      <c r="M476" s="15">
        <f t="shared" si="17"/>
        <v>1.6307870370370361E-2</v>
      </c>
      <c r="N476">
        <f t="shared" si="18"/>
        <v>2</v>
      </c>
    </row>
    <row r="477" spans="1:14" x14ac:dyDescent="0.3">
      <c r="A477" s="1"/>
      <c r="B477" s="1"/>
      <c r="C477" s="1"/>
      <c r="D477" s="1"/>
      <c r="E477" s="1"/>
      <c r="F477" s="1"/>
      <c r="G477" s="9" t="s">
        <v>729</v>
      </c>
      <c r="H477" s="9" t="s">
        <v>119</v>
      </c>
      <c r="I477" s="9" t="s">
        <v>486</v>
      </c>
      <c r="J477" s="9" t="s">
        <v>1912</v>
      </c>
      <c r="K477" s="3" t="s">
        <v>730</v>
      </c>
      <c r="L477" s="13" t="s">
        <v>731</v>
      </c>
      <c r="M477" s="15">
        <f t="shared" si="17"/>
        <v>1.4826388888888889E-2</v>
      </c>
      <c r="N477">
        <f t="shared" si="18"/>
        <v>2</v>
      </c>
    </row>
    <row r="478" spans="1:14" x14ac:dyDescent="0.3">
      <c r="A478" s="1"/>
      <c r="B478" s="1"/>
      <c r="C478" s="1"/>
      <c r="D478" s="1"/>
      <c r="E478" s="1"/>
      <c r="F478" s="1"/>
      <c r="G478" s="9" t="s">
        <v>1571</v>
      </c>
      <c r="H478" s="9" t="s">
        <v>119</v>
      </c>
      <c r="I478" s="9" t="s">
        <v>1296</v>
      </c>
      <c r="J478" s="9" t="s">
        <v>1912</v>
      </c>
      <c r="K478" s="3" t="s">
        <v>1572</v>
      </c>
      <c r="L478" s="13" t="s">
        <v>180</v>
      </c>
      <c r="M478" s="15">
        <f t="shared" si="17"/>
        <v>2.5497685185185165E-2</v>
      </c>
      <c r="N478">
        <f t="shared" si="18"/>
        <v>5</v>
      </c>
    </row>
    <row r="479" spans="1:14" x14ac:dyDescent="0.3">
      <c r="A479" s="1"/>
      <c r="B479" s="1"/>
      <c r="C479" s="9" t="s">
        <v>88</v>
      </c>
      <c r="D479" s="9" t="s">
        <v>89</v>
      </c>
      <c r="E479" s="9" t="s">
        <v>89</v>
      </c>
      <c r="F479" s="9" t="s">
        <v>22</v>
      </c>
      <c r="G479" s="11" t="s">
        <v>19</v>
      </c>
      <c r="H479" s="2"/>
      <c r="I479" s="2"/>
      <c r="J479" s="7"/>
      <c r="K479" s="4"/>
      <c r="L479" s="12"/>
    </row>
    <row r="480" spans="1:14" x14ac:dyDescent="0.3">
      <c r="A480" s="1"/>
      <c r="B480" s="1"/>
      <c r="C480" s="1"/>
      <c r="D480" s="1"/>
      <c r="E480" s="1"/>
      <c r="F480" s="1"/>
      <c r="G480" s="9" t="s">
        <v>732</v>
      </c>
      <c r="H480" s="9" t="s">
        <v>119</v>
      </c>
      <c r="I480" s="9" t="s">
        <v>486</v>
      </c>
      <c r="J480" s="9" t="s">
        <v>1912</v>
      </c>
      <c r="K480" s="3" t="s">
        <v>733</v>
      </c>
      <c r="L480" s="13" t="s">
        <v>734</v>
      </c>
      <c r="M480" s="15">
        <f t="shared" si="17"/>
        <v>4.5254629629629561E-2</v>
      </c>
      <c r="N480">
        <f t="shared" si="18"/>
        <v>10</v>
      </c>
    </row>
    <row r="481" spans="1:14" x14ac:dyDescent="0.3">
      <c r="A481" s="1"/>
      <c r="B481" s="1"/>
      <c r="C481" s="1"/>
      <c r="D481" s="1"/>
      <c r="E481" s="1"/>
      <c r="F481" s="1"/>
      <c r="G481" s="9" t="s">
        <v>1139</v>
      </c>
      <c r="H481" s="9" t="s">
        <v>119</v>
      </c>
      <c r="I481" s="9" t="s">
        <v>926</v>
      </c>
      <c r="J481" s="9" t="s">
        <v>1912</v>
      </c>
      <c r="K481" s="3" t="s">
        <v>1140</v>
      </c>
      <c r="L481" s="13" t="s">
        <v>1141</v>
      </c>
      <c r="M481" s="15">
        <f t="shared" si="17"/>
        <v>1.8842592592592577E-2</v>
      </c>
      <c r="N481">
        <f t="shared" si="18"/>
        <v>10</v>
      </c>
    </row>
    <row r="482" spans="1:14" x14ac:dyDescent="0.3">
      <c r="A482" s="1"/>
      <c r="B482" s="1"/>
      <c r="C482" s="1"/>
      <c r="D482" s="1"/>
      <c r="E482" s="1"/>
      <c r="F482" s="1"/>
      <c r="G482" s="9" t="s">
        <v>1142</v>
      </c>
      <c r="H482" s="9" t="s">
        <v>119</v>
      </c>
      <c r="I482" s="9" t="s">
        <v>926</v>
      </c>
      <c r="J482" s="9" t="s">
        <v>1912</v>
      </c>
      <c r="K482" s="3" t="s">
        <v>1143</v>
      </c>
      <c r="L482" s="13" t="s">
        <v>1144</v>
      </c>
      <c r="M482" s="15">
        <f t="shared" si="17"/>
        <v>4.0694444444444366E-2</v>
      </c>
      <c r="N482">
        <f t="shared" si="18"/>
        <v>13</v>
      </c>
    </row>
    <row r="483" spans="1:14" x14ac:dyDescent="0.3">
      <c r="A483" s="1"/>
      <c r="B483" s="1"/>
      <c r="C483" s="9" t="s">
        <v>322</v>
      </c>
      <c r="D483" s="9" t="s">
        <v>323</v>
      </c>
      <c r="E483" s="9" t="s">
        <v>323</v>
      </c>
      <c r="F483" s="9" t="s">
        <v>22</v>
      </c>
      <c r="G483" s="11" t="s">
        <v>19</v>
      </c>
      <c r="H483" s="2"/>
      <c r="I483" s="2"/>
      <c r="J483" s="7"/>
      <c r="K483" s="4"/>
      <c r="L483" s="12"/>
    </row>
    <row r="484" spans="1:14" x14ac:dyDescent="0.3">
      <c r="A484" s="1"/>
      <c r="B484" s="1"/>
      <c r="C484" s="1"/>
      <c r="D484" s="1"/>
      <c r="E484" s="1"/>
      <c r="F484" s="1"/>
      <c r="G484" s="9" t="s">
        <v>324</v>
      </c>
      <c r="H484" s="9" t="s">
        <v>119</v>
      </c>
      <c r="I484" s="9" t="s">
        <v>25</v>
      </c>
      <c r="J484" s="9" t="s">
        <v>1912</v>
      </c>
      <c r="K484" s="3" t="s">
        <v>325</v>
      </c>
      <c r="L484" s="13" t="s">
        <v>326</v>
      </c>
      <c r="M484" s="15">
        <f t="shared" si="17"/>
        <v>2.879629629629632E-2</v>
      </c>
      <c r="N484">
        <f t="shared" si="18"/>
        <v>10</v>
      </c>
    </row>
    <row r="485" spans="1:14" x14ac:dyDescent="0.3">
      <c r="A485" s="1"/>
      <c r="B485" s="1"/>
      <c r="C485" s="1"/>
      <c r="D485" s="1"/>
      <c r="E485" s="1"/>
      <c r="F485" s="1"/>
      <c r="G485" s="9" t="s">
        <v>327</v>
      </c>
      <c r="H485" s="9" t="s">
        <v>119</v>
      </c>
      <c r="I485" s="9" t="s">
        <v>25</v>
      </c>
      <c r="J485" s="9" t="s">
        <v>1912</v>
      </c>
      <c r="K485" s="3" t="s">
        <v>328</v>
      </c>
      <c r="L485" s="13" t="s">
        <v>329</v>
      </c>
      <c r="M485" s="15">
        <f t="shared" si="17"/>
        <v>3.5555555555555562E-2</v>
      </c>
      <c r="N485">
        <f t="shared" si="18"/>
        <v>11</v>
      </c>
    </row>
    <row r="486" spans="1:14" x14ac:dyDescent="0.3">
      <c r="A486" s="1"/>
      <c r="B486" s="1"/>
      <c r="C486" s="1"/>
      <c r="D486" s="1"/>
      <c r="E486" s="1"/>
      <c r="F486" s="1"/>
      <c r="G486" s="9" t="s">
        <v>330</v>
      </c>
      <c r="H486" s="9" t="s">
        <v>119</v>
      </c>
      <c r="I486" s="9" t="s">
        <v>25</v>
      </c>
      <c r="J486" s="9" t="s">
        <v>1912</v>
      </c>
      <c r="K486" s="3" t="s">
        <v>331</v>
      </c>
      <c r="L486" s="13" t="s">
        <v>332</v>
      </c>
      <c r="M486" s="15">
        <f t="shared" si="17"/>
        <v>1.4791666666666647E-2</v>
      </c>
      <c r="N486">
        <f t="shared" si="18"/>
        <v>12</v>
      </c>
    </row>
    <row r="487" spans="1:14" x14ac:dyDescent="0.3">
      <c r="A487" s="1"/>
      <c r="B487" s="1"/>
      <c r="C487" s="1"/>
      <c r="D487" s="1"/>
      <c r="E487" s="1"/>
      <c r="F487" s="1"/>
      <c r="G487" s="9" t="s">
        <v>333</v>
      </c>
      <c r="H487" s="9" t="s">
        <v>119</v>
      </c>
      <c r="I487" s="9" t="s">
        <v>25</v>
      </c>
      <c r="J487" s="9" t="s">
        <v>1912</v>
      </c>
      <c r="K487" s="3" t="s">
        <v>334</v>
      </c>
      <c r="L487" s="13" t="s">
        <v>335</v>
      </c>
      <c r="M487" s="15">
        <f t="shared" si="17"/>
        <v>4.5462962962962927E-2</v>
      </c>
      <c r="N487">
        <f t="shared" si="18"/>
        <v>14</v>
      </c>
    </row>
    <row r="488" spans="1:14" x14ac:dyDescent="0.3">
      <c r="A488" s="1"/>
      <c r="B488" s="1"/>
      <c r="C488" s="1"/>
      <c r="D488" s="1"/>
      <c r="E488" s="1"/>
      <c r="F488" s="1"/>
      <c r="G488" s="9" t="s">
        <v>336</v>
      </c>
      <c r="H488" s="9" t="s">
        <v>119</v>
      </c>
      <c r="I488" s="9" t="s">
        <v>25</v>
      </c>
      <c r="J488" s="9" t="s">
        <v>1912</v>
      </c>
      <c r="K488" s="3" t="s">
        <v>337</v>
      </c>
      <c r="L488" s="13" t="s">
        <v>338</v>
      </c>
      <c r="M488" s="15">
        <f t="shared" si="17"/>
        <v>1.4733796296296231E-2</v>
      </c>
      <c r="N488">
        <f t="shared" si="18"/>
        <v>15</v>
      </c>
    </row>
    <row r="489" spans="1:14" x14ac:dyDescent="0.3">
      <c r="A489" s="1"/>
      <c r="B489" s="1"/>
      <c r="C489" s="1"/>
      <c r="D489" s="1"/>
      <c r="E489" s="1"/>
      <c r="F489" s="1"/>
      <c r="G489" s="9" t="s">
        <v>735</v>
      </c>
      <c r="H489" s="9" t="s">
        <v>119</v>
      </c>
      <c r="I489" s="9" t="s">
        <v>486</v>
      </c>
      <c r="J489" s="9" t="s">
        <v>1912</v>
      </c>
      <c r="K489" s="3" t="s">
        <v>736</v>
      </c>
      <c r="L489" s="13" t="s">
        <v>737</v>
      </c>
      <c r="M489" s="15">
        <f t="shared" si="17"/>
        <v>4.2962962962962925E-2</v>
      </c>
      <c r="N489">
        <f t="shared" si="18"/>
        <v>10</v>
      </c>
    </row>
    <row r="490" spans="1:14" x14ac:dyDescent="0.3">
      <c r="A490" s="1"/>
      <c r="B490" s="1"/>
      <c r="C490" s="1"/>
      <c r="D490" s="1"/>
      <c r="E490" s="1"/>
      <c r="F490" s="1"/>
      <c r="G490" s="9" t="s">
        <v>738</v>
      </c>
      <c r="H490" s="9" t="s">
        <v>119</v>
      </c>
      <c r="I490" s="9" t="s">
        <v>486</v>
      </c>
      <c r="J490" s="9" t="s">
        <v>1912</v>
      </c>
      <c r="K490" s="3" t="s">
        <v>739</v>
      </c>
      <c r="L490" s="13" t="s">
        <v>740</v>
      </c>
      <c r="M490" s="15">
        <f t="shared" si="17"/>
        <v>3.5844907407407423E-2</v>
      </c>
      <c r="N490">
        <f t="shared" si="18"/>
        <v>14</v>
      </c>
    </row>
    <row r="491" spans="1:14" x14ac:dyDescent="0.3">
      <c r="A491" s="1"/>
      <c r="B491" s="1"/>
      <c r="C491" s="1"/>
      <c r="D491" s="1"/>
      <c r="E491" s="1"/>
      <c r="F491" s="1"/>
      <c r="G491" s="9" t="s">
        <v>741</v>
      </c>
      <c r="H491" s="9" t="s">
        <v>119</v>
      </c>
      <c r="I491" s="9" t="s">
        <v>486</v>
      </c>
      <c r="J491" s="9" t="s">
        <v>1912</v>
      </c>
      <c r="K491" s="3" t="s">
        <v>742</v>
      </c>
      <c r="L491" s="13" t="s">
        <v>743</v>
      </c>
      <c r="M491" s="15">
        <f t="shared" si="17"/>
        <v>2.1817129629629672E-2</v>
      </c>
      <c r="N491">
        <f t="shared" si="18"/>
        <v>14</v>
      </c>
    </row>
    <row r="492" spans="1:14" x14ac:dyDescent="0.3">
      <c r="A492" s="1"/>
      <c r="B492" s="1"/>
      <c r="C492" s="1"/>
      <c r="D492" s="1"/>
      <c r="E492" s="1"/>
      <c r="F492" s="1"/>
      <c r="G492" s="9" t="s">
        <v>744</v>
      </c>
      <c r="H492" s="9" t="s">
        <v>119</v>
      </c>
      <c r="I492" s="9" t="s">
        <v>486</v>
      </c>
      <c r="J492" s="9" t="s">
        <v>1912</v>
      </c>
      <c r="K492" s="3" t="s">
        <v>745</v>
      </c>
      <c r="L492" s="13" t="s">
        <v>746</v>
      </c>
      <c r="M492" s="15">
        <f t="shared" si="17"/>
        <v>1.8715277777777928E-2</v>
      </c>
      <c r="N492">
        <f t="shared" si="18"/>
        <v>15</v>
      </c>
    </row>
    <row r="493" spans="1:14" x14ac:dyDescent="0.3">
      <c r="A493" s="1"/>
      <c r="B493" s="1"/>
      <c r="C493" s="1"/>
      <c r="D493" s="1"/>
      <c r="E493" s="1"/>
      <c r="F493" s="1"/>
      <c r="G493" s="9" t="s">
        <v>1145</v>
      </c>
      <c r="H493" s="9" t="s">
        <v>119</v>
      </c>
      <c r="I493" s="9" t="s">
        <v>926</v>
      </c>
      <c r="J493" s="9" t="s">
        <v>1912</v>
      </c>
      <c r="K493" s="3" t="s">
        <v>1146</v>
      </c>
      <c r="L493" s="13" t="s">
        <v>1147</v>
      </c>
      <c r="M493" s="15">
        <f t="shared" si="17"/>
        <v>1.997685185185194E-2</v>
      </c>
      <c r="N493">
        <f t="shared" si="18"/>
        <v>13</v>
      </c>
    </row>
    <row r="494" spans="1:14" x14ac:dyDescent="0.3">
      <c r="A494" s="1"/>
      <c r="B494" s="1"/>
      <c r="C494" s="1"/>
      <c r="D494" s="1"/>
      <c r="E494" s="1"/>
      <c r="F494" s="1"/>
      <c r="G494" s="9" t="s">
        <v>1148</v>
      </c>
      <c r="H494" s="9" t="s">
        <v>119</v>
      </c>
      <c r="I494" s="9" t="s">
        <v>926</v>
      </c>
      <c r="J494" s="9" t="s">
        <v>1912</v>
      </c>
      <c r="K494" s="3" t="s">
        <v>1149</v>
      </c>
      <c r="L494" s="13" t="s">
        <v>1150</v>
      </c>
      <c r="M494" s="15">
        <f t="shared" si="17"/>
        <v>3.5775462962962856E-2</v>
      </c>
      <c r="N494">
        <f t="shared" si="18"/>
        <v>16</v>
      </c>
    </row>
    <row r="495" spans="1:14" x14ac:dyDescent="0.3">
      <c r="A495" s="1"/>
      <c r="B495" s="1"/>
      <c r="C495" s="1"/>
      <c r="D495" s="1"/>
      <c r="E495" s="1"/>
      <c r="F495" s="1"/>
      <c r="G495" s="9" t="s">
        <v>1573</v>
      </c>
      <c r="H495" s="9" t="s">
        <v>119</v>
      </c>
      <c r="I495" s="9" t="s">
        <v>1296</v>
      </c>
      <c r="J495" s="9" t="s">
        <v>1912</v>
      </c>
      <c r="K495" s="3" t="s">
        <v>1574</v>
      </c>
      <c r="L495" s="13" t="s">
        <v>1575</v>
      </c>
      <c r="M495" s="15">
        <f t="shared" si="17"/>
        <v>3.3518518518518448E-2</v>
      </c>
      <c r="N495">
        <f t="shared" si="18"/>
        <v>11</v>
      </c>
    </row>
    <row r="496" spans="1:14" x14ac:dyDescent="0.3">
      <c r="A496" s="1"/>
      <c r="B496" s="1"/>
      <c r="C496" s="1"/>
      <c r="D496" s="1"/>
      <c r="E496" s="1"/>
      <c r="F496" s="1"/>
      <c r="G496" s="9" t="s">
        <v>1576</v>
      </c>
      <c r="H496" s="9" t="s">
        <v>119</v>
      </c>
      <c r="I496" s="9" t="s">
        <v>1296</v>
      </c>
      <c r="J496" s="9" t="s">
        <v>1912</v>
      </c>
      <c r="K496" s="3" t="s">
        <v>1577</v>
      </c>
      <c r="L496" s="13" t="s">
        <v>1578</v>
      </c>
      <c r="M496" s="15">
        <f t="shared" si="17"/>
        <v>1.7175925925925983E-2</v>
      </c>
      <c r="N496">
        <f t="shared" si="18"/>
        <v>12</v>
      </c>
    </row>
    <row r="497" spans="1:14" x14ac:dyDescent="0.3">
      <c r="A497" s="1"/>
      <c r="B497" s="1"/>
      <c r="C497" s="1"/>
      <c r="D497" s="1"/>
      <c r="E497" s="1"/>
      <c r="F497" s="1"/>
      <c r="G497" s="9" t="s">
        <v>1579</v>
      </c>
      <c r="H497" s="9" t="s">
        <v>119</v>
      </c>
      <c r="I497" s="9" t="s">
        <v>1296</v>
      </c>
      <c r="J497" s="9" t="s">
        <v>1912</v>
      </c>
      <c r="K497" s="3" t="s">
        <v>1580</v>
      </c>
      <c r="L497" s="13" t="s">
        <v>1581</v>
      </c>
      <c r="M497" s="15">
        <f t="shared" si="17"/>
        <v>1.5543981481481506E-2</v>
      </c>
      <c r="N497">
        <f t="shared" si="18"/>
        <v>16</v>
      </c>
    </row>
    <row r="498" spans="1:14" x14ac:dyDescent="0.3">
      <c r="A498" s="1"/>
      <c r="B498" s="1"/>
      <c r="C498" s="1"/>
      <c r="D498" s="1"/>
      <c r="E498" s="1"/>
      <c r="F498" s="1"/>
      <c r="G498" s="9" t="s">
        <v>1582</v>
      </c>
      <c r="H498" s="9" t="s">
        <v>119</v>
      </c>
      <c r="I498" s="9" t="s">
        <v>1296</v>
      </c>
      <c r="J498" s="9" t="s">
        <v>1912</v>
      </c>
      <c r="K498" s="3" t="s">
        <v>1583</v>
      </c>
      <c r="L498" s="13" t="s">
        <v>1584</v>
      </c>
      <c r="M498" s="15">
        <f t="shared" si="17"/>
        <v>1.5601851851851922E-2</v>
      </c>
      <c r="N498">
        <f t="shared" si="18"/>
        <v>17</v>
      </c>
    </row>
    <row r="499" spans="1:14" x14ac:dyDescent="0.3">
      <c r="A499" s="1"/>
      <c r="B499" s="1"/>
      <c r="C499" s="1"/>
      <c r="D499" s="1"/>
      <c r="E499" s="1"/>
      <c r="F499" s="1"/>
      <c r="G499" s="9" t="s">
        <v>2155</v>
      </c>
      <c r="H499" s="9" t="s">
        <v>119</v>
      </c>
      <c r="I499" s="9" t="s">
        <v>1914</v>
      </c>
      <c r="J499" s="9" t="s">
        <v>1912</v>
      </c>
      <c r="K499" s="3" t="s">
        <v>2156</v>
      </c>
      <c r="L499" s="13" t="s">
        <v>2157</v>
      </c>
      <c r="M499" s="15">
        <f t="shared" si="17"/>
        <v>1.4513888888888882E-2</v>
      </c>
      <c r="N499">
        <f t="shared" si="18"/>
        <v>6</v>
      </c>
    </row>
    <row r="500" spans="1:14" x14ac:dyDescent="0.3">
      <c r="A500" s="1"/>
      <c r="B500" s="1"/>
      <c r="C500" s="1"/>
      <c r="D500" s="1"/>
      <c r="E500" s="1"/>
      <c r="F500" s="1"/>
      <c r="G500" s="9" t="s">
        <v>2158</v>
      </c>
      <c r="H500" s="9" t="s">
        <v>119</v>
      </c>
      <c r="I500" s="9" t="s">
        <v>1914</v>
      </c>
      <c r="J500" s="9" t="s">
        <v>1912</v>
      </c>
      <c r="K500" s="3" t="s">
        <v>2159</v>
      </c>
      <c r="L500" s="13" t="s">
        <v>2160</v>
      </c>
      <c r="M500" s="15">
        <f t="shared" si="17"/>
        <v>1.3900462962962934E-2</v>
      </c>
      <c r="N500">
        <f t="shared" si="18"/>
        <v>8</v>
      </c>
    </row>
    <row r="501" spans="1:14" x14ac:dyDescent="0.3">
      <c r="A501" s="1"/>
      <c r="B501" s="1"/>
      <c r="C501" s="1"/>
      <c r="D501" s="1"/>
      <c r="E501" s="1"/>
      <c r="F501" s="1"/>
      <c r="G501" s="9" t="s">
        <v>2161</v>
      </c>
      <c r="H501" s="9" t="s">
        <v>119</v>
      </c>
      <c r="I501" s="9" t="s">
        <v>1914</v>
      </c>
      <c r="J501" s="9" t="s">
        <v>1912</v>
      </c>
      <c r="K501" s="3" t="s">
        <v>2162</v>
      </c>
      <c r="L501" s="13" t="s">
        <v>2163</v>
      </c>
      <c r="M501" s="15">
        <f t="shared" si="17"/>
        <v>3.7488425925925994E-2</v>
      </c>
      <c r="N501">
        <f t="shared" si="18"/>
        <v>10</v>
      </c>
    </row>
    <row r="502" spans="1:14" x14ac:dyDescent="0.3">
      <c r="A502" s="1"/>
      <c r="B502" s="1"/>
      <c r="C502" s="1"/>
      <c r="D502" s="1"/>
      <c r="E502" s="1"/>
      <c r="F502" s="1"/>
      <c r="G502" s="9" t="s">
        <v>2164</v>
      </c>
      <c r="H502" s="9" t="s">
        <v>119</v>
      </c>
      <c r="I502" s="9" t="s">
        <v>1914</v>
      </c>
      <c r="J502" s="9" t="s">
        <v>1912</v>
      </c>
      <c r="K502" s="3" t="s">
        <v>2165</v>
      </c>
      <c r="L502" s="13" t="s">
        <v>2166</v>
      </c>
      <c r="M502" s="15">
        <f t="shared" si="17"/>
        <v>1.5000000000000124E-2</v>
      </c>
      <c r="N502">
        <f t="shared" si="18"/>
        <v>14</v>
      </c>
    </row>
    <row r="503" spans="1:14" x14ac:dyDescent="0.3">
      <c r="A503" s="1"/>
      <c r="B503" s="1"/>
      <c r="C503" s="9" t="s">
        <v>93</v>
      </c>
      <c r="D503" s="9" t="s">
        <v>94</v>
      </c>
      <c r="E503" s="11" t="s">
        <v>19</v>
      </c>
      <c r="F503" s="2"/>
      <c r="G503" s="2"/>
      <c r="H503" s="2"/>
      <c r="I503" s="2"/>
      <c r="J503" s="7"/>
      <c r="K503" s="4"/>
      <c r="L503" s="12"/>
    </row>
    <row r="504" spans="1:14" x14ac:dyDescent="0.3">
      <c r="A504" s="1"/>
      <c r="B504" s="1"/>
      <c r="C504" s="1"/>
      <c r="D504" s="1"/>
      <c r="E504" s="9" t="s">
        <v>94</v>
      </c>
      <c r="F504" s="9" t="s">
        <v>22</v>
      </c>
      <c r="G504" s="11" t="s">
        <v>19</v>
      </c>
      <c r="H504" s="2"/>
      <c r="I504" s="2"/>
      <c r="J504" s="7"/>
      <c r="K504" s="4"/>
      <c r="L504" s="12"/>
    </row>
    <row r="505" spans="1:14" x14ac:dyDescent="0.3">
      <c r="A505" s="1"/>
      <c r="B505" s="1"/>
      <c r="C505" s="1"/>
      <c r="D505" s="1"/>
      <c r="E505" s="1"/>
      <c r="F505" s="1"/>
      <c r="G505" s="9" t="s">
        <v>339</v>
      </c>
      <c r="H505" s="9" t="s">
        <v>119</v>
      </c>
      <c r="I505" s="9" t="s">
        <v>25</v>
      </c>
      <c r="J505" s="9" t="s">
        <v>1912</v>
      </c>
      <c r="K505" s="3" t="s">
        <v>340</v>
      </c>
      <c r="L505" s="16" t="s">
        <v>341</v>
      </c>
      <c r="M505" s="15">
        <f t="shared" si="17"/>
        <v>1.2407407407407405E-2</v>
      </c>
    </row>
    <row r="506" spans="1:14" x14ac:dyDescent="0.3">
      <c r="A506" s="1"/>
      <c r="B506" s="1"/>
      <c r="C506" s="1"/>
      <c r="D506" s="1"/>
      <c r="E506" s="1"/>
      <c r="F506" s="1"/>
      <c r="G506" s="9" t="s">
        <v>342</v>
      </c>
      <c r="H506" s="9" t="s">
        <v>119</v>
      </c>
      <c r="I506" s="9" t="s">
        <v>25</v>
      </c>
      <c r="J506" s="9" t="s">
        <v>1912</v>
      </c>
      <c r="K506" s="3" t="s">
        <v>343</v>
      </c>
      <c r="L506" s="13" t="s">
        <v>344</v>
      </c>
      <c r="M506" s="15">
        <f t="shared" si="17"/>
        <v>1.8668981481481467E-2</v>
      </c>
      <c r="N506">
        <f t="shared" si="18"/>
        <v>5</v>
      </c>
    </row>
    <row r="507" spans="1:14" x14ac:dyDescent="0.3">
      <c r="A507" s="1"/>
      <c r="B507" s="1"/>
      <c r="C507" s="1"/>
      <c r="D507" s="1"/>
      <c r="E507" s="1"/>
      <c r="F507" s="1"/>
      <c r="G507" s="9" t="s">
        <v>345</v>
      </c>
      <c r="H507" s="9" t="s">
        <v>119</v>
      </c>
      <c r="I507" s="9" t="s">
        <v>25</v>
      </c>
      <c r="J507" s="9" t="s">
        <v>1912</v>
      </c>
      <c r="K507" s="3" t="s">
        <v>346</v>
      </c>
      <c r="L507" s="13" t="s">
        <v>347</v>
      </c>
      <c r="M507" s="15">
        <f t="shared" si="17"/>
        <v>2.994212962962961E-2</v>
      </c>
      <c r="N507">
        <f t="shared" si="18"/>
        <v>10</v>
      </c>
    </row>
    <row r="508" spans="1:14" x14ac:dyDescent="0.3">
      <c r="A508" s="1"/>
      <c r="B508" s="1"/>
      <c r="C508" s="1"/>
      <c r="D508" s="1"/>
      <c r="E508" s="1"/>
      <c r="F508" s="1"/>
      <c r="G508" s="9" t="s">
        <v>348</v>
      </c>
      <c r="H508" s="9" t="s">
        <v>119</v>
      </c>
      <c r="I508" s="9" t="s">
        <v>25</v>
      </c>
      <c r="J508" s="9" t="s">
        <v>1912</v>
      </c>
      <c r="K508" s="3" t="s">
        <v>349</v>
      </c>
      <c r="L508" s="13" t="s">
        <v>350</v>
      </c>
      <c r="M508" s="15">
        <f t="shared" si="17"/>
        <v>1.9826388888888935E-2</v>
      </c>
      <c r="N508">
        <f t="shared" si="18"/>
        <v>11</v>
      </c>
    </row>
    <row r="509" spans="1:14" x14ac:dyDescent="0.3">
      <c r="A509" s="1"/>
      <c r="B509" s="1"/>
      <c r="C509" s="1"/>
      <c r="D509" s="1"/>
      <c r="E509" s="1"/>
      <c r="F509" s="1"/>
      <c r="G509" s="9" t="s">
        <v>747</v>
      </c>
      <c r="H509" s="9" t="s">
        <v>119</v>
      </c>
      <c r="I509" s="9" t="s">
        <v>486</v>
      </c>
      <c r="J509" s="9" t="s">
        <v>1912</v>
      </c>
      <c r="K509" s="3" t="s">
        <v>748</v>
      </c>
      <c r="L509" s="13" t="s">
        <v>749</v>
      </c>
      <c r="M509" s="15">
        <f t="shared" si="17"/>
        <v>1.7395833333333333E-2</v>
      </c>
      <c r="N509">
        <f t="shared" si="18"/>
        <v>4</v>
      </c>
    </row>
    <row r="510" spans="1:14" x14ac:dyDescent="0.3">
      <c r="A510" s="1"/>
      <c r="B510" s="1"/>
      <c r="C510" s="1"/>
      <c r="D510" s="1"/>
      <c r="E510" s="1"/>
      <c r="F510" s="1"/>
      <c r="G510" s="9" t="s">
        <v>1151</v>
      </c>
      <c r="H510" s="9" t="s">
        <v>119</v>
      </c>
      <c r="I510" s="9" t="s">
        <v>926</v>
      </c>
      <c r="J510" s="9" t="s">
        <v>1912</v>
      </c>
      <c r="K510" s="3" t="s">
        <v>1152</v>
      </c>
      <c r="L510" s="13" t="s">
        <v>1153</v>
      </c>
      <c r="M510" s="15">
        <f t="shared" si="17"/>
        <v>1.6886574074074123E-2</v>
      </c>
      <c r="N510">
        <f t="shared" si="18"/>
        <v>12</v>
      </c>
    </row>
    <row r="511" spans="1:14" x14ac:dyDescent="0.3">
      <c r="A511" s="1"/>
      <c r="B511" s="1"/>
      <c r="C511" s="1"/>
      <c r="D511" s="1"/>
      <c r="E511" s="1"/>
      <c r="F511" s="1"/>
      <c r="G511" s="9" t="s">
        <v>1585</v>
      </c>
      <c r="H511" s="9" t="s">
        <v>119</v>
      </c>
      <c r="I511" s="9" t="s">
        <v>1296</v>
      </c>
      <c r="J511" s="9" t="s">
        <v>1912</v>
      </c>
      <c r="K511" s="3" t="s">
        <v>1586</v>
      </c>
      <c r="L511" s="13" t="s">
        <v>1587</v>
      </c>
      <c r="M511" s="15">
        <f t="shared" si="17"/>
        <v>2.0312499999999983E-2</v>
      </c>
      <c r="N511">
        <f t="shared" si="18"/>
        <v>5</v>
      </c>
    </row>
    <row r="512" spans="1:14" x14ac:dyDescent="0.3">
      <c r="A512" s="1"/>
      <c r="B512" s="1"/>
      <c r="C512" s="1"/>
      <c r="D512" s="1"/>
      <c r="E512" s="1"/>
      <c r="F512" s="1"/>
      <c r="G512" s="9" t="s">
        <v>1588</v>
      </c>
      <c r="H512" s="9" t="s">
        <v>119</v>
      </c>
      <c r="I512" s="9" t="s">
        <v>1296</v>
      </c>
      <c r="J512" s="9" t="s">
        <v>1912</v>
      </c>
      <c r="K512" s="3" t="s">
        <v>1589</v>
      </c>
      <c r="L512" s="13" t="s">
        <v>1590</v>
      </c>
      <c r="M512" s="15">
        <f t="shared" si="17"/>
        <v>4.0590277777777739E-2</v>
      </c>
      <c r="N512">
        <f t="shared" si="18"/>
        <v>11</v>
      </c>
    </row>
    <row r="513" spans="1:16" x14ac:dyDescent="0.3">
      <c r="A513" s="1"/>
      <c r="B513" s="1"/>
      <c r="C513" s="1"/>
      <c r="D513" s="1"/>
      <c r="E513" s="1"/>
      <c r="F513" s="1"/>
      <c r="G513" s="9" t="s">
        <v>2167</v>
      </c>
      <c r="H513" s="9" t="s">
        <v>119</v>
      </c>
      <c r="I513" s="9" t="s">
        <v>1914</v>
      </c>
      <c r="J513" s="9" t="s">
        <v>1912</v>
      </c>
      <c r="K513" s="3" t="s">
        <v>2168</v>
      </c>
      <c r="L513" s="13" t="s">
        <v>2169</v>
      </c>
      <c r="M513" s="15">
        <f t="shared" si="17"/>
        <v>1.3321759259259214E-2</v>
      </c>
      <c r="N513">
        <f t="shared" si="18"/>
        <v>9</v>
      </c>
    </row>
    <row r="514" spans="1:16" x14ac:dyDescent="0.3">
      <c r="A514" s="1"/>
      <c r="B514" s="1"/>
      <c r="C514" s="1"/>
      <c r="D514" s="1"/>
      <c r="E514" s="1"/>
      <c r="F514" s="1"/>
      <c r="G514" s="9" t="s">
        <v>2170</v>
      </c>
      <c r="H514" s="9" t="s">
        <v>119</v>
      </c>
      <c r="I514" s="9" t="s">
        <v>1914</v>
      </c>
      <c r="J514" s="9" t="s">
        <v>1912</v>
      </c>
      <c r="K514" s="3" t="s">
        <v>2171</v>
      </c>
      <c r="L514" s="13" t="s">
        <v>2172</v>
      </c>
      <c r="M514" s="15">
        <f t="shared" si="17"/>
        <v>1.7928240740740731E-2</v>
      </c>
      <c r="N514">
        <f t="shared" si="18"/>
        <v>9</v>
      </c>
    </row>
    <row r="515" spans="1:16" x14ac:dyDescent="0.3">
      <c r="A515" s="1"/>
      <c r="B515" s="1"/>
      <c r="C515" s="1"/>
      <c r="D515" s="1"/>
      <c r="E515" s="1"/>
      <c r="F515" s="1"/>
      <c r="G515" s="9" t="s">
        <v>2173</v>
      </c>
      <c r="H515" s="9" t="s">
        <v>119</v>
      </c>
      <c r="I515" s="9" t="s">
        <v>1945</v>
      </c>
      <c r="J515" s="9" t="s">
        <v>1912</v>
      </c>
      <c r="K515" s="3" t="s">
        <v>2174</v>
      </c>
      <c r="L515" s="13" t="s">
        <v>2175</v>
      </c>
      <c r="M515" s="15">
        <f t="shared" ref="M515:M578" si="19">L515-K515</f>
        <v>1.3518518518518485E-2</v>
      </c>
      <c r="N515">
        <f t="shared" ref="N515:N578" si="20">HOUR(K515)</f>
        <v>8</v>
      </c>
    </row>
    <row r="516" spans="1:16" x14ac:dyDescent="0.3">
      <c r="A516" s="1"/>
      <c r="B516" s="1"/>
      <c r="C516" s="1"/>
      <c r="D516" s="1"/>
      <c r="E516" s="9" t="s">
        <v>164</v>
      </c>
      <c r="F516" s="9" t="s">
        <v>22</v>
      </c>
      <c r="G516" s="11" t="s">
        <v>19</v>
      </c>
      <c r="H516" s="2"/>
      <c r="I516" s="2"/>
      <c r="J516" s="7"/>
      <c r="K516" s="4"/>
      <c r="L516" s="12"/>
    </row>
    <row r="517" spans="1:16" x14ac:dyDescent="0.3">
      <c r="A517" s="1"/>
      <c r="B517" s="1"/>
      <c r="C517" s="1"/>
      <c r="D517" s="1"/>
      <c r="E517" s="1"/>
      <c r="F517" s="1"/>
      <c r="G517" s="9" t="s">
        <v>351</v>
      </c>
      <c r="H517" s="9" t="s">
        <v>119</v>
      </c>
      <c r="I517" s="9" t="s">
        <v>25</v>
      </c>
      <c r="J517" s="9" t="s">
        <v>1912</v>
      </c>
      <c r="K517" s="3" t="s">
        <v>352</v>
      </c>
      <c r="L517" s="13" t="s">
        <v>353</v>
      </c>
      <c r="M517" s="15">
        <f t="shared" si="19"/>
        <v>4.4155092592592593E-2</v>
      </c>
      <c r="N517">
        <f t="shared" si="20"/>
        <v>10</v>
      </c>
    </row>
    <row r="518" spans="1:16" x14ac:dyDescent="0.3">
      <c r="A518" s="1"/>
      <c r="B518" s="1"/>
      <c r="C518" s="1"/>
      <c r="D518" s="1"/>
      <c r="E518" s="1"/>
      <c r="F518" s="1"/>
      <c r="G518" s="9" t="s">
        <v>750</v>
      </c>
      <c r="H518" s="9" t="s">
        <v>119</v>
      </c>
      <c r="I518" s="9" t="s">
        <v>486</v>
      </c>
      <c r="J518" s="9" t="s">
        <v>1912</v>
      </c>
      <c r="K518" s="3" t="s">
        <v>751</v>
      </c>
      <c r="L518" s="13" t="s">
        <v>752</v>
      </c>
      <c r="M518" s="15">
        <f t="shared" si="19"/>
        <v>2.5393518518518454E-2</v>
      </c>
      <c r="N518">
        <f t="shared" si="20"/>
        <v>6</v>
      </c>
    </row>
    <row r="519" spans="1:16" x14ac:dyDescent="0.3">
      <c r="A519" s="1"/>
      <c r="B519" s="1"/>
      <c r="C519" s="1"/>
      <c r="D519" s="1"/>
      <c r="E519" s="1"/>
      <c r="F519" s="1"/>
      <c r="G519" s="9" t="s">
        <v>753</v>
      </c>
      <c r="H519" s="9" t="s">
        <v>119</v>
      </c>
      <c r="I519" s="9" t="s">
        <v>486</v>
      </c>
      <c r="J519" s="9" t="s">
        <v>1912</v>
      </c>
      <c r="K519" s="3" t="s">
        <v>754</v>
      </c>
      <c r="L519" s="13" t="s">
        <v>755</v>
      </c>
      <c r="M519" s="15">
        <f t="shared" si="19"/>
        <v>1.5324074074074046E-2</v>
      </c>
      <c r="N519">
        <f t="shared" si="20"/>
        <v>10</v>
      </c>
    </row>
    <row r="520" spans="1:16" x14ac:dyDescent="0.3">
      <c r="A520" s="1"/>
      <c r="B520" s="1"/>
      <c r="C520" s="1"/>
      <c r="D520" s="1"/>
      <c r="E520" s="1"/>
      <c r="F520" s="1"/>
      <c r="G520" s="9" t="s">
        <v>756</v>
      </c>
      <c r="H520" s="9" t="s">
        <v>119</v>
      </c>
      <c r="I520" s="9" t="s">
        <v>486</v>
      </c>
      <c r="J520" s="9" t="s">
        <v>1912</v>
      </c>
      <c r="K520" s="3" t="s">
        <v>757</v>
      </c>
      <c r="L520" s="13" t="s">
        <v>2176</v>
      </c>
      <c r="M520" s="15">
        <f t="shared" si="19"/>
        <v>1.0462962962962952E-2</v>
      </c>
      <c r="N520">
        <f t="shared" si="20"/>
        <v>11</v>
      </c>
      <c r="P520" s="25"/>
    </row>
    <row r="521" spans="1:16" x14ac:dyDescent="0.3">
      <c r="A521" s="1"/>
      <c r="B521" s="1"/>
      <c r="C521" s="1"/>
      <c r="D521" s="1"/>
      <c r="E521" s="1"/>
      <c r="F521" s="1"/>
      <c r="G521" s="9" t="s">
        <v>1154</v>
      </c>
      <c r="H521" s="9" t="s">
        <v>119</v>
      </c>
      <c r="I521" s="9" t="s">
        <v>926</v>
      </c>
      <c r="J521" s="9" t="s">
        <v>1912</v>
      </c>
      <c r="K521" s="3" t="s">
        <v>1155</v>
      </c>
      <c r="L521" s="13" t="s">
        <v>1156</v>
      </c>
      <c r="M521" s="15">
        <f t="shared" si="19"/>
        <v>1.7083333333333339E-2</v>
      </c>
      <c r="N521">
        <f t="shared" si="20"/>
        <v>2</v>
      </c>
    </row>
    <row r="522" spans="1:16" x14ac:dyDescent="0.3">
      <c r="A522" s="1"/>
      <c r="B522" s="1"/>
      <c r="C522" s="1"/>
      <c r="D522" s="1"/>
      <c r="E522" s="1"/>
      <c r="F522" s="1"/>
      <c r="G522" s="9" t="s">
        <v>1157</v>
      </c>
      <c r="H522" s="9" t="s">
        <v>119</v>
      </c>
      <c r="I522" s="9" t="s">
        <v>926</v>
      </c>
      <c r="J522" s="9" t="s">
        <v>1912</v>
      </c>
      <c r="K522" s="3" t="s">
        <v>1158</v>
      </c>
      <c r="L522" s="13" t="s">
        <v>1159</v>
      </c>
      <c r="M522" s="15">
        <f t="shared" si="19"/>
        <v>1.7222222222222194E-2</v>
      </c>
      <c r="N522">
        <f t="shared" si="20"/>
        <v>6</v>
      </c>
    </row>
    <row r="523" spans="1:16" x14ac:dyDescent="0.3">
      <c r="A523" s="1"/>
      <c r="B523" s="1"/>
      <c r="C523" s="1"/>
      <c r="D523" s="1"/>
      <c r="E523" s="1"/>
      <c r="F523" s="1"/>
      <c r="G523" s="9" t="s">
        <v>1591</v>
      </c>
      <c r="H523" s="9" t="s">
        <v>119</v>
      </c>
      <c r="I523" s="9" t="s">
        <v>1296</v>
      </c>
      <c r="J523" s="9" t="s">
        <v>1912</v>
      </c>
      <c r="K523" s="3" t="s">
        <v>1592</v>
      </c>
      <c r="L523" s="13" t="s">
        <v>1593</v>
      </c>
      <c r="M523" s="15">
        <f t="shared" si="19"/>
        <v>2.2557870370370325E-2</v>
      </c>
      <c r="N523">
        <f t="shared" si="20"/>
        <v>6</v>
      </c>
    </row>
    <row r="524" spans="1:16" x14ac:dyDescent="0.3">
      <c r="A524" s="1"/>
      <c r="B524" s="1"/>
      <c r="C524" s="1"/>
      <c r="D524" s="1"/>
      <c r="E524" s="1"/>
      <c r="F524" s="1"/>
      <c r="G524" s="9" t="s">
        <v>1594</v>
      </c>
      <c r="H524" s="9" t="s">
        <v>119</v>
      </c>
      <c r="I524" s="9" t="s">
        <v>1296</v>
      </c>
      <c r="J524" s="9" t="s">
        <v>1912</v>
      </c>
      <c r="K524" s="3" t="s">
        <v>1595</v>
      </c>
      <c r="L524" s="13" t="s">
        <v>1596</v>
      </c>
      <c r="M524" s="15">
        <f t="shared" si="19"/>
        <v>1.4108796296296244E-2</v>
      </c>
      <c r="N524">
        <f t="shared" si="20"/>
        <v>8</v>
      </c>
    </row>
    <row r="525" spans="1:16" x14ac:dyDescent="0.3">
      <c r="A525" s="1"/>
      <c r="B525" s="1"/>
      <c r="C525" s="1"/>
      <c r="D525" s="1"/>
      <c r="E525" s="1"/>
      <c r="F525" s="1"/>
      <c r="G525" s="9" t="s">
        <v>1597</v>
      </c>
      <c r="H525" s="9" t="s">
        <v>119</v>
      </c>
      <c r="I525" s="9" t="s">
        <v>1296</v>
      </c>
      <c r="J525" s="9" t="s">
        <v>1912</v>
      </c>
      <c r="K525" s="3" t="s">
        <v>1598</v>
      </c>
      <c r="L525" s="13" t="s">
        <v>1599</v>
      </c>
      <c r="M525" s="15">
        <f t="shared" si="19"/>
        <v>2.6365740740740717E-2</v>
      </c>
      <c r="N525">
        <f t="shared" si="20"/>
        <v>20</v>
      </c>
    </row>
    <row r="526" spans="1:16" x14ac:dyDescent="0.3">
      <c r="A526" s="1"/>
      <c r="B526" s="1"/>
      <c r="C526" s="1"/>
      <c r="D526" s="1"/>
      <c r="E526" s="1"/>
      <c r="F526" s="1"/>
      <c r="G526" s="9" t="s">
        <v>2177</v>
      </c>
      <c r="H526" s="9" t="s">
        <v>119</v>
      </c>
      <c r="I526" s="9" t="s">
        <v>1914</v>
      </c>
      <c r="J526" s="9" t="s">
        <v>1912</v>
      </c>
      <c r="K526" s="3" t="s">
        <v>2178</v>
      </c>
      <c r="L526" s="16" t="s">
        <v>2179</v>
      </c>
      <c r="M526" s="15">
        <f t="shared" si="19"/>
        <v>1.3113425925925921E-2</v>
      </c>
    </row>
    <row r="527" spans="1:16" x14ac:dyDescent="0.3">
      <c r="A527" s="1"/>
      <c r="B527" s="1"/>
      <c r="C527" s="1"/>
      <c r="D527" s="1"/>
      <c r="E527" s="1"/>
      <c r="F527" s="1"/>
      <c r="G527" s="9" t="s">
        <v>2180</v>
      </c>
      <c r="H527" s="9" t="s">
        <v>119</v>
      </c>
      <c r="I527" s="9" t="s">
        <v>1914</v>
      </c>
      <c r="J527" s="9" t="s">
        <v>1912</v>
      </c>
      <c r="K527" s="3" t="s">
        <v>2181</v>
      </c>
      <c r="L527" s="13" t="s">
        <v>1780</v>
      </c>
      <c r="M527" s="15">
        <f t="shared" si="19"/>
        <v>1.3437500000000019E-2</v>
      </c>
      <c r="N527">
        <f t="shared" si="20"/>
        <v>3</v>
      </c>
    </row>
    <row r="528" spans="1:16" x14ac:dyDescent="0.3">
      <c r="A528" s="1"/>
      <c r="B528" s="1"/>
      <c r="C528" s="1"/>
      <c r="D528" s="1"/>
      <c r="E528" s="1"/>
      <c r="F528" s="1"/>
      <c r="G528" s="9" t="s">
        <v>2182</v>
      </c>
      <c r="H528" s="9" t="s">
        <v>119</v>
      </c>
      <c r="I528" s="9" t="s">
        <v>1914</v>
      </c>
      <c r="J528" s="9" t="s">
        <v>1912</v>
      </c>
      <c r="K528" s="3" t="s">
        <v>2183</v>
      </c>
      <c r="L528" s="13" t="s">
        <v>2184</v>
      </c>
      <c r="M528" s="15">
        <f t="shared" si="19"/>
        <v>1.5092592592592602E-2</v>
      </c>
      <c r="N528">
        <f t="shared" si="20"/>
        <v>6</v>
      </c>
    </row>
    <row r="529" spans="1:14" x14ac:dyDescent="0.3">
      <c r="A529" s="1"/>
      <c r="B529" s="1"/>
      <c r="C529" s="1"/>
      <c r="D529" s="1"/>
      <c r="E529" s="1"/>
      <c r="F529" s="1"/>
      <c r="G529" s="9" t="s">
        <v>2185</v>
      </c>
      <c r="H529" s="9" t="s">
        <v>119</v>
      </c>
      <c r="I529" s="9" t="s">
        <v>1914</v>
      </c>
      <c r="J529" s="9" t="s">
        <v>1912</v>
      </c>
      <c r="K529" s="3" t="s">
        <v>2186</v>
      </c>
      <c r="L529" s="13" t="s">
        <v>2187</v>
      </c>
      <c r="M529" s="15">
        <f t="shared" si="19"/>
        <v>1.3946759259259256E-2</v>
      </c>
      <c r="N529">
        <f t="shared" si="20"/>
        <v>8</v>
      </c>
    </row>
    <row r="530" spans="1:14" x14ac:dyDescent="0.3">
      <c r="A530" s="1"/>
      <c r="B530" s="1"/>
      <c r="C530" s="1"/>
      <c r="D530" s="1"/>
      <c r="E530" s="1"/>
      <c r="F530" s="1"/>
      <c r="G530" s="9" t="s">
        <v>2188</v>
      </c>
      <c r="H530" s="9" t="s">
        <v>119</v>
      </c>
      <c r="I530" s="9" t="s">
        <v>1914</v>
      </c>
      <c r="J530" s="9" t="s">
        <v>1912</v>
      </c>
      <c r="K530" s="3" t="s">
        <v>2189</v>
      </c>
      <c r="L530" s="13" t="s">
        <v>2190</v>
      </c>
      <c r="M530" s="15">
        <f t="shared" si="19"/>
        <v>1.5509259259259278E-2</v>
      </c>
      <c r="N530">
        <f t="shared" si="20"/>
        <v>12</v>
      </c>
    </row>
    <row r="531" spans="1:14" x14ac:dyDescent="0.3">
      <c r="A531" s="1"/>
      <c r="B531" s="1"/>
      <c r="C531" s="1"/>
      <c r="D531" s="1"/>
      <c r="E531" s="1"/>
      <c r="F531" s="1"/>
      <c r="G531" s="9" t="s">
        <v>2191</v>
      </c>
      <c r="H531" s="9" t="s">
        <v>119</v>
      </c>
      <c r="I531" s="9" t="s">
        <v>1945</v>
      </c>
      <c r="J531" s="9" t="s">
        <v>1912</v>
      </c>
      <c r="K531" s="3" t="s">
        <v>2192</v>
      </c>
      <c r="L531" s="13" t="s">
        <v>2193</v>
      </c>
      <c r="M531" s="15">
        <f t="shared" si="19"/>
        <v>1.6782407407407385E-2</v>
      </c>
      <c r="N531">
        <f t="shared" si="20"/>
        <v>6</v>
      </c>
    </row>
    <row r="532" spans="1:14" x14ac:dyDescent="0.3">
      <c r="A532" s="1"/>
      <c r="B532" s="1"/>
      <c r="C532" s="1"/>
      <c r="D532" s="1"/>
      <c r="E532" s="1"/>
      <c r="F532" s="1"/>
      <c r="G532" s="9" t="s">
        <v>2194</v>
      </c>
      <c r="H532" s="9" t="s">
        <v>119</v>
      </c>
      <c r="I532" s="9" t="s">
        <v>1945</v>
      </c>
      <c r="J532" s="9" t="s">
        <v>1912</v>
      </c>
      <c r="K532" s="3" t="s">
        <v>2195</v>
      </c>
      <c r="L532" s="13" t="s">
        <v>2196</v>
      </c>
      <c r="M532" s="15">
        <f t="shared" si="19"/>
        <v>1.5636574074074039E-2</v>
      </c>
      <c r="N532">
        <f t="shared" si="20"/>
        <v>9</v>
      </c>
    </row>
    <row r="533" spans="1:14" x14ac:dyDescent="0.3">
      <c r="A533" s="1"/>
      <c r="B533" s="1"/>
      <c r="C533" s="1"/>
      <c r="D533" s="1"/>
      <c r="E533" s="1"/>
      <c r="F533" s="1"/>
      <c r="G533" s="9" t="s">
        <v>2197</v>
      </c>
      <c r="H533" s="9" t="s">
        <v>119</v>
      </c>
      <c r="I533" s="9" t="s">
        <v>1941</v>
      </c>
      <c r="J533" s="9" t="s">
        <v>1912</v>
      </c>
      <c r="K533" s="3" t="s">
        <v>2198</v>
      </c>
      <c r="L533" s="13" t="s">
        <v>2199</v>
      </c>
      <c r="M533" s="15">
        <f t="shared" si="19"/>
        <v>1.4085648148148167E-2</v>
      </c>
      <c r="N533">
        <f t="shared" si="20"/>
        <v>20</v>
      </c>
    </row>
    <row r="534" spans="1:14" x14ac:dyDescent="0.3">
      <c r="A534" s="1"/>
      <c r="B534" s="1"/>
      <c r="C534" s="9" t="s">
        <v>354</v>
      </c>
      <c r="D534" s="9" t="s">
        <v>355</v>
      </c>
      <c r="E534" s="9" t="s">
        <v>355</v>
      </c>
      <c r="F534" s="9" t="s">
        <v>22</v>
      </c>
      <c r="G534" s="11" t="s">
        <v>19</v>
      </c>
      <c r="H534" s="2"/>
      <c r="I534" s="2"/>
      <c r="J534" s="7"/>
      <c r="K534" s="4"/>
      <c r="L534" s="12"/>
    </row>
    <row r="535" spans="1:14" x14ac:dyDescent="0.3">
      <c r="A535" s="1"/>
      <c r="B535" s="1"/>
      <c r="C535" s="1"/>
      <c r="D535" s="1"/>
      <c r="E535" s="1"/>
      <c r="F535" s="1"/>
      <c r="G535" s="9" t="s">
        <v>356</v>
      </c>
      <c r="H535" s="9" t="s">
        <v>119</v>
      </c>
      <c r="I535" s="9" t="s">
        <v>25</v>
      </c>
      <c r="J535" s="9" t="s">
        <v>1912</v>
      </c>
      <c r="K535" s="3" t="s">
        <v>357</v>
      </c>
      <c r="L535" s="13" t="s">
        <v>358</v>
      </c>
      <c r="M535" s="15">
        <f t="shared" si="19"/>
        <v>1.4826388888888903E-2</v>
      </c>
      <c r="N535">
        <f t="shared" si="20"/>
        <v>5</v>
      </c>
    </row>
    <row r="536" spans="1:14" x14ac:dyDescent="0.3">
      <c r="A536" s="1"/>
      <c r="B536" s="1"/>
      <c r="C536" s="1"/>
      <c r="D536" s="1"/>
      <c r="E536" s="1"/>
      <c r="F536" s="1"/>
      <c r="G536" s="9" t="s">
        <v>359</v>
      </c>
      <c r="H536" s="9" t="s">
        <v>119</v>
      </c>
      <c r="I536" s="9" t="s">
        <v>25</v>
      </c>
      <c r="J536" s="9" t="s">
        <v>1912</v>
      </c>
      <c r="K536" s="3" t="s">
        <v>360</v>
      </c>
      <c r="L536" s="13" t="s">
        <v>361</v>
      </c>
      <c r="M536" s="15">
        <f t="shared" si="19"/>
        <v>2.0451388888888977E-2</v>
      </c>
      <c r="N536">
        <f t="shared" si="20"/>
        <v>19</v>
      </c>
    </row>
    <row r="537" spans="1:14" x14ac:dyDescent="0.3">
      <c r="A537" s="1"/>
      <c r="B537" s="1"/>
      <c r="C537" s="1"/>
      <c r="D537" s="1"/>
      <c r="E537" s="1"/>
      <c r="F537" s="1"/>
      <c r="G537" s="9" t="s">
        <v>362</v>
      </c>
      <c r="H537" s="9" t="s">
        <v>119</v>
      </c>
      <c r="I537" s="9" t="s">
        <v>25</v>
      </c>
      <c r="J537" s="9" t="s">
        <v>1912</v>
      </c>
      <c r="K537" s="3" t="s">
        <v>363</v>
      </c>
      <c r="L537" s="13" t="s">
        <v>364</v>
      </c>
      <c r="M537" s="15">
        <f t="shared" si="19"/>
        <v>2.9409722222222268E-2</v>
      </c>
      <c r="N537">
        <f t="shared" si="20"/>
        <v>13</v>
      </c>
    </row>
    <row r="538" spans="1:14" x14ac:dyDescent="0.3">
      <c r="A538" s="1"/>
      <c r="B538" s="1"/>
      <c r="C538" s="1"/>
      <c r="D538" s="1"/>
      <c r="E538" s="1"/>
      <c r="F538" s="1"/>
      <c r="G538" s="9" t="s">
        <v>365</v>
      </c>
      <c r="H538" s="9" t="s">
        <v>119</v>
      </c>
      <c r="I538" s="9" t="s">
        <v>25</v>
      </c>
      <c r="J538" s="9" t="s">
        <v>1912</v>
      </c>
      <c r="K538" s="3" t="s">
        <v>366</v>
      </c>
      <c r="L538" s="13" t="s">
        <v>367</v>
      </c>
      <c r="M538" s="15">
        <f t="shared" si="19"/>
        <v>1.2662037037036944E-2</v>
      </c>
      <c r="N538">
        <f t="shared" si="20"/>
        <v>18</v>
      </c>
    </row>
    <row r="539" spans="1:14" x14ac:dyDescent="0.3">
      <c r="A539" s="1"/>
      <c r="B539" s="1"/>
      <c r="C539" s="1"/>
      <c r="D539" s="1"/>
      <c r="E539" s="1"/>
      <c r="F539" s="1"/>
      <c r="G539" s="9" t="s">
        <v>368</v>
      </c>
      <c r="H539" s="9" t="s">
        <v>119</v>
      </c>
      <c r="I539" s="9" t="s">
        <v>25</v>
      </c>
      <c r="J539" s="9" t="s">
        <v>1912</v>
      </c>
      <c r="K539" s="3" t="s">
        <v>369</v>
      </c>
      <c r="L539" s="13" t="s">
        <v>370</v>
      </c>
      <c r="M539" s="15">
        <f t="shared" si="19"/>
        <v>1.5416666666666634E-2</v>
      </c>
      <c r="N539">
        <f t="shared" si="20"/>
        <v>21</v>
      </c>
    </row>
    <row r="540" spans="1:14" x14ac:dyDescent="0.3">
      <c r="A540" s="1"/>
      <c r="B540" s="1"/>
      <c r="C540" s="1"/>
      <c r="D540" s="1"/>
      <c r="E540" s="1"/>
      <c r="F540" s="1"/>
      <c r="G540" s="9" t="s">
        <v>759</v>
      </c>
      <c r="H540" s="9" t="s">
        <v>119</v>
      </c>
      <c r="I540" s="9" t="s">
        <v>486</v>
      </c>
      <c r="J540" s="9" t="s">
        <v>1912</v>
      </c>
      <c r="K540" s="3" t="s">
        <v>760</v>
      </c>
      <c r="L540" s="13" t="s">
        <v>761</v>
      </c>
      <c r="M540" s="15">
        <f t="shared" si="19"/>
        <v>1.6435185185185719E-3</v>
      </c>
      <c r="N540">
        <f t="shared" si="20"/>
        <v>9</v>
      </c>
    </row>
    <row r="541" spans="1:14" x14ac:dyDescent="0.3">
      <c r="A541" s="1"/>
      <c r="B541" s="1"/>
      <c r="C541" s="1"/>
      <c r="D541" s="1"/>
      <c r="E541" s="1"/>
      <c r="F541" s="1"/>
      <c r="G541" s="9" t="s">
        <v>762</v>
      </c>
      <c r="H541" s="9" t="s">
        <v>119</v>
      </c>
      <c r="I541" s="9" t="s">
        <v>486</v>
      </c>
      <c r="J541" s="9" t="s">
        <v>1912</v>
      </c>
      <c r="K541" s="3" t="s">
        <v>763</v>
      </c>
      <c r="L541" s="13" t="s">
        <v>764</v>
      </c>
      <c r="M541" s="15">
        <f t="shared" si="19"/>
        <v>1.7002314814814845E-2</v>
      </c>
      <c r="N541">
        <f t="shared" si="20"/>
        <v>8</v>
      </c>
    </row>
    <row r="542" spans="1:14" x14ac:dyDescent="0.3">
      <c r="A542" s="1"/>
      <c r="B542" s="1"/>
      <c r="C542" s="1"/>
      <c r="D542" s="1"/>
      <c r="E542" s="1"/>
      <c r="F542" s="1"/>
      <c r="G542" s="9" t="s">
        <v>765</v>
      </c>
      <c r="H542" s="9" t="s">
        <v>119</v>
      </c>
      <c r="I542" s="9" t="s">
        <v>486</v>
      </c>
      <c r="J542" s="9" t="s">
        <v>1912</v>
      </c>
      <c r="K542" s="3" t="s">
        <v>766</v>
      </c>
      <c r="L542" s="13" t="s">
        <v>767</v>
      </c>
      <c r="M542" s="15">
        <f t="shared" si="19"/>
        <v>1.631944444444422E-3</v>
      </c>
      <c r="N542">
        <f t="shared" si="20"/>
        <v>9</v>
      </c>
    </row>
    <row r="543" spans="1:14" x14ac:dyDescent="0.3">
      <c r="A543" s="1"/>
      <c r="B543" s="1"/>
      <c r="C543" s="1"/>
      <c r="D543" s="1"/>
      <c r="E543" s="1"/>
      <c r="F543" s="1"/>
      <c r="G543" s="9" t="s">
        <v>768</v>
      </c>
      <c r="H543" s="9" t="s">
        <v>119</v>
      </c>
      <c r="I543" s="9" t="s">
        <v>486</v>
      </c>
      <c r="J543" s="9" t="s">
        <v>1912</v>
      </c>
      <c r="K543" s="3" t="s">
        <v>769</v>
      </c>
      <c r="L543" s="13" t="s">
        <v>770</v>
      </c>
      <c r="M543" s="15">
        <f t="shared" si="19"/>
        <v>1.7800925925925859E-2</v>
      </c>
      <c r="N543">
        <f t="shared" si="20"/>
        <v>9</v>
      </c>
    </row>
    <row r="544" spans="1:14" x14ac:dyDescent="0.3">
      <c r="A544" s="1"/>
      <c r="B544" s="1"/>
      <c r="C544" s="1"/>
      <c r="D544" s="1"/>
      <c r="E544" s="1"/>
      <c r="F544" s="1"/>
      <c r="G544" s="9" t="s">
        <v>771</v>
      </c>
      <c r="H544" s="9" t="s">
        <v>119</v>
      </c>
      <c r="I544" s="9" t="s">
        <v>486</v>
      </c>
      <c r="J544" s="9" t="s">
        <v>1912</v>
      </c>
      <c r="K544" s="3" t="s">
        <v>772</v>
      </c>
      <c r="L544" s="13" t="s">
        <v>773</v>
      </c>
      <c r="M544" s="15">
        <f t="shared" si="19"/>
        <v>5.1273148148148151E-2</v>
      </c>
      <c r="N544">
        <f t="shared" si="20"/>
        <v>10</v>
      </c>
    </row>
    <row r="545" spans="1:14" x14ac:dyDescent="0.3">
      <c r="A545" s="1"/>
      <c r="B545" s="1"/>
      <c r="C545" s="1"/>
      <c r="D545" s="1"/>
      <c r="E545" s="1"/>
      <c r="F545" s="1"/>
      <c r="G545" s="9" t="s">
        <v>774</v>
      </c>
      <c r="H545" s="9" t="s">
        <v>119</v>
      </c>
      <c r="I545" s="9" t="s">
        <v>486</v>
      </c>
      <c r="J545" s="9" t="s">
        <v>1912</v>
      </c>
      <c r="K545" s="3" t="s">
        <v>775</v>
      </c>
      <c r="L545" s="13" t="s">
        <v>776</v>
      </c>
      <c r="M545" s="15">
        <f t="shared" si="19"/>
        <v>1.1932870370370274E-2</v>
      </c>
      <c r="N545">
        <f t="shared" si="20"/>
        <v>23</v>
      </c>
    </row>
    <row r="546" spans="1:14" x14ac:dyDescent="0.3">
      <c r="A546" s="1"/>
      <c r="B546" s="1"/>
      <c r="C546" s="1"/>
      <c r="D546" s="1"/>
      <c r="E546" s="1"/>
      <c r="F546" s="1"/>
      <c r="G546" s="9" t="s">
        <v>777</v>
      </c>
      <c r="H546" s="9" t="s">
        <v>119</v>
      </c>
      <c r="I546" s="9" t="s">
        <v>486</v>
      </c>
      <c r="J546" s="9" t="s">
        <v>1912</v>
      </c>
      <c r="K546" s="3" t="s">
        <v>778</v>
      </c>
      <c r="L546" s="13" t="s">
        <v>779</v>
      </c>
      <c r="M546" s="15">
        <f t="shared" si="19"/>
        <v>1.2187500000000018E-2</v>
      </c>
      <c r="N546">
        <f t="shared" si="20"/>
        <v>15</v>
      </c>
    </row>
    <row r="547" spans="1:14" x14ac:dyDescent="0.3">
      <c r="A547" s="1"/>
      <c r="B547" s="1"/>
      <c r="C547" s="1"/>
      <c r="D547" s="1"/>
      <c r="E547" s="1"/>
      <c r="F547" s="1"/>
      <c r="G547" s="9" t="s">
        <v>780</v>
      </c>
      <c r="H547" s="9" t="s">
        <v>119</v>
      </c>
      <c r="I547" s="9" t="s">
        <v>486</v>
      </c>
      <c r="J547" s="9" t="s">
        <v>1912</v>
      </c>
      <c r="K547" s="3" t="s">
        <v>781</v>
      </c>
      <c r="L547" s="13" t="s">
        <v>782</v>
      </c>
      <c r="M547" s="15">
        <f t="shared" si="19"/>
        <v>2.1608796296296418E-2</v>
      </c>
      <c r="N547">
        <f t="shared" si="20"/>
        <v>17</v>
      </c>
    </row>
    <row r="548" spans="1:14" x14ac:dyDescent="0.3">
      <c r="A548" s="1"/>
      <c r="B548" s="1"/>
      <c r="C548" s="1"/>
      <c r="D548" s="1"/>
      <c r="E548" s="1"/>
      <c r="F548" s="1"/>
      <c r="G548" s="9" t="s">
        <v>783</v>
      </c>
      <c r="H548" s="9" t="s">
        <v>119</v>
      </c>
      <c r="I548" s="9" t="s">
        <v>486</v>
      </c>
      <c r="J548" s="9" t="s">
        <v>1912</v>
      </c>
      <c r="K548" s="3" t="s">
        <v>784</v>
      </c>
      <c r="L548" s="13" t="s">
        <v>785</v>
      </c>
      <c r="M548" s="15">
        <f t="shared" si="19"/>
        <v>1.5625E-2</v>
      </c>
      <c r="N548">
        <f t="shared" si="20"/>
        <v>20</v>
      </c>
    </row>
    <row r="549" spans="1:14" x14ac:dyDescent="0.3">
      <c r="A549" s="1"/>
      <c r="B549" s="1"/>
      <c r="C549" s="1"/>
      <c r="D549" s="1"/>
      <c r="E549" s="1"/>
      <c r="F549" s="1"/>
      <c r="G549" s="9" t="s">
        <v>786</v>
      </c>
      <c r="H549" s="9" t="s">
        <v>119</v>
      </c>
      <c r="I549" s="9" t="s">
        <v>486</v>
      </c>
      <c r="J549" s="9" t="s">
        <v>1912</v>
      </c>
      <c r="K549" s="3" t="s">
        <v>787</v>
      </c>
      <c r="L549" s="13" t="s">
        <v>788</v>
      </c>
      <c r="M549" s="15">
        <f t="shared" si="19"/>
        <v>1.8935185185185333E-2</v>
      </c>
      <c r="N549">
        <f t="shared" si="20"/>
        <v>23</v>
      </c>
    </row>
    <row r="550" spans="1:14" x14ac:dyDescent="0.3">
      <c r="A550" s="1"/>
      <c r="B550" s="1"/>
      <c r="C550" s="1"/>
      <c r="D550" s="1"/>
      <c r="E550" s="1"/>
      <c r="F550" s="1"/>
      <c r="G550" s="9" t="s">
        <v>1160</v>
      </c>
      <c r="H550" s="9" t="s">
        <v>119</v>
      </c>
      <c r="I550" s="9" t="s">
        <v>926</v>
      </c>
      <c r="J550" s="9" t="s">
        <v>1912</v>
      </c>
      <c r="K550" s="3" t="s">
        <v>129</v>
      </c>
      <c r="L550" s="13" t="s">
        <v>1161</v>
      </c>
      <c r="M550" s="15">
        <f t="shared" si="19"/>
        <v>1.7476851851851855E-2</v>
      </c>
      <c r="N550">
        <f t="shared" si="20"/>
        <v>1</v>
      </c>
    </row>
    <row r="551" spans="1:14" x14ac:dyDescent="0.3">
      <c r="A551" s="1"/>
      <c r="B551" s="1"/>
      <c r="C551" s="1"/>
      <c r="D551" s="1"/>
      <c r="E551" s="1"/>
      <c r="F551" s="1"/>
      <c r="G551" s="9" t="s">
        <v>1162</v>
      </c>
      <c r="H551" s="9" t="s">
        <v>119</v>
      </c>
      <c r="I551" s="9" t="s">
        <v>926</v>
      </c>
      <c r="J551" s="9" t="s">
        <v>1912</v>
      </c>
      <c r="K551" s="3" t="s">
        <v>1163</v>
      </c>
      <c r="L551" s="13" t="s">
        <v>1164</v>
      </c>
      <c r="M551" s="15">
        <f t="shared" si="19"/>
        <v>3.349537037037037E-2</v>
      </c>
      <c r="N551">
        <f t="shared" si="20"/>
        <v>6</v>
      </c>
    </row>
    <row r="552" spans="1:14" x14ac:dyDescent="0.3">
      <c r="A552" s="1"/>
      <c r="B552" s="1"/>
      <c r="C552" s="1"/>
      <c r="D552" s="1"/>
      <c r="E552" s="1"/>
      <c r="F552" s="1"/>
      <c r="G552" s="9" t="s">
        <v>1165</v>
      </c>
      <c r="H552" s="9" t="s">
        <v>119</v>
      </c>
      <c r="I552" s="9" t="s">
        <v>926</v>
      </c>
      <c r="J552" s="9" t="s">
        <v>1912</v>
      </c>
      <c r="K552" s="3" t="s">
        <v>1166</v>
      </c>
      <c r="L552" s="13" t="s">
        <v>1167</v>
      </c>
      <c r="M552" s="15">
        <f t="shared" si="19"/>
        <v>1.8194444444444458E-2</v>
      </c>
      <c r="N552">
        <f t="shared" si="20"/>
        <v>9</v>
      </c>
    </row>
    <row r="553" spans="1:14" x14ac:dyDescent="0.3">
      <c r="A553" s="1"/>
      <c r="B553" s="1"/>
      <c r="C553" s="1"/>
      <c r="D553" s="1"/>
      <c r="E553" s="1"/>
      <c r="F553" s="1"/>
      <c r="G553" s="9" t="s">
        <v>1168</v>
      </c>
      <c r="H553" s="9" t="s">
        <v>119</v>
      </c>
      <c r="I553" s="9" t="s">
        <v>926</v>
      </c>
      <c r="J553" s="9" t="s">
        <v>1912</v>
      </c>
      <c r="K553" s="3" t="s">
        <v>1169</v>
      </c>
      <c r="L553" s="13" t="s">
        <v>71</v>
      </c>
      <c r="M553" s="15">
        <f t="shared" si="19"/>
        <v>2.7002314814814798E-2</v>
      </c>
      <c r="N553">
        <f t="shared" si="20"/>
        <v>10</v>
      </c>
    </row>
    <row r="554" spans="1:14" x14ac:dyDescent="0.3">
      <c r="A554" s="1"/>
      <c r="B554" s="1"/>
      <c r="C554" s="1"/>
      <c r="D554" s="1"/>
      <c r="E554" s="1"/>
      <c r="F554" s="1"/>
      <c r="G554" s="9" t="s">
        <v>1170</v>
      </c>
      <c r="H554" s="9" t="s">
        <v>119</v>
      </c>
      <c r="I554" s="9" t="s">
        <v>926</v>
      </c>
      <c r="J554" s="9" t="s">
        <v>1912</v>
      </c>
      <c r="K554" s="3" t="s">
        <v>1171</v>
      </c>
      <c r="L554" s="13" t="s">
        <v>1172</v>
      </c>
      <c r="M554" s="15">
        <f t="shared" si="19"/>
        <v>3.4409722222222272E-2</v>
      </c>
      <c r="N554">
        <f t="shared" si="20"/>
        <v>14</v>
      </c>
    </row>
    <row r="555" spans="1:14" x14ac:dyDescent="0.3">
      <c r="A555" s="1"/>
      <c r="B555" s="1"/>
      <c r="C555" s="1"/>
      <c r="D555" s="1"/>
      <c r="E555" s="1"/>
      <c r="F555" s="1"/>
      <c r="G555" s="9" t="s">
        <v>1600</v>
      </c>
      <c r="H555" s="9" t="s">
        <v>119</v>
      </c>
      <c r="I555" s="9" t="s">
        <v>1296</v>
      </c>
      <c r="J555" s="9" t="s">
        <v>1912</v>
      </c>
      <c r="K555" s="3" t="s">
        <v>1601</v>
      </c>
      <c r="L555" s="13" t="s">
        <v>1602</v>
      </c>
      <c r="M555" s="15">
        <f t="shared" si="19"/>
        <v>1.4004629629629645E-2</v>
      </c>
      <c r="N555">
        <f t="shared" si="20"/>
        <v>1</v>
      </c>
    </row>
    <row r="556" spans="1:14" x14ac:dyDescent="0.3">
      <c r="A556" s="1"/>
      <c r="B556" s="1"/>
      <c r="C556" s="1"/>
      <c r="D556" s="1"/>
      <c r="E556" s="1"/>
      <c r="F556" s="1"/>
      <c r="G556" s="9" t="s">
        <v>1603</v>
      </c>
      <c r="H556" s="9" t="s">
        <v>119</v>
      </c>
      <c r="I556" s="9" t="s">
        <v>1296</v>
      </c>
      <c r="J556" s="9" t="s">
        <v>1912</v>
      </c>
      <c r="K556" s="3" t="s">
        <v>1604</v>
      </c>
      <c r="L556" s="13" t="s">
        <v>1605</v>
      </c>
      <c r="M556" s="15">
        <f t="shared" si="19"/>
        <v>2.7905092592592551E-2</v>
      </c>
      <c r="N556">
        <f t="shared" si="20"/>
        <v>10</v>
      </c>
    </row>
    <row r="557" spans="1:14" x14ac:dyDescent="0.3">
      <c r="A557" s="1"/>
      <c r="B557" s="1"/>
      <c r="C557" s="1"/>
      <c r="D557" s="1"/>
      <c r="E557" s="1"/>
      <c r="F557" s="1"/>
      <c r="G557" s="9" t="s">
        <v>1606</v>
      </c>
      <c r="H557" s="9" t="s">
        <v>119</v>
      </c>
      <c r="I557" s="9" t="s">
        <v>1296</v>
      </c>
      <c r="J557" s="9" t="s">
        <v>1912</v>
      </c>
      <c r="K557" s="3" t="s">
        <v>1607</v>
      </c>
      <c r="L557" s="13" t="s">
        <v>1608</v>
      </c>
      <c r="M557" s="15">
        <f t="shared" si="19"/>
        <v>1.3495370370370408E-2</v>
      </c>
      <c r="N557">
        <f t="shared" si="20"/>
        <v>18</v>
      </c>
    </row>
    <row r="558" spans="1:14" x14ac:dyDescent="0.3">
      <c r="A558" s="1"/>
      <c r="B558" s="1"/>
      <c r="C558" s="1"/>
      <c r="D558" s="1"/>
      <c r="E558" s="1"/>
      <c r="F558" s="1"/>
      <c r="G558" s="9" t="s">
        <v>1609</v>
      </c>
      <c r="H558" s="9" t="s">
        <v>119</v>
      </c>
      <c r="I558" s="9" t="s">
        <v>1296</v>
      </c>
      <c r="J558" s="9" t="s">
        <v>1912</v>
      </c>
      <c r="K558" s="3" t="s">
        <v>1610</v>
      </c>
      <c r="L558" s="13" t="s">
        <v>1611</v>
      </c>
      <c r="M558" s="15">
        <f t="shared" si="19"/>
        <v>1.7245370370370439E-2</v>
      </c>
      <c r="N558">
        <f t="shared" si="20"/>
        <v>23</v>
      </c>
    </row>
    <row r="559" spans="1:14" x14ac:dyDescent="0.3">
      <c r="A559" s="1"/>
      <c r="B559" s="1"/>
      <c r="C559" s="1"/>
      <c r="D559" s="1"/>
      <c r="E559" s="1"/>
      <c r="F559" s="1"/>
      <c r="G559" s="9" t="s">
        <v>2200</v>
      </c>
      <c r="H559" s="9" t="s">
        <v>119</v>
      </c>
      <c r="I559" s="9" t="s">
        <v>1914</v>
      </c>
      <c r="J559" s="9" t="s">
        <v>1912</v>
      </c>
      <c r="K559" s="3" t="s">
        <v>2201</v>
      </c>
      <c r="L559" s="13" t="s">
        <v>2202</v>
      </c>
      <c r="M559" s="15">
        <f t="shared" si="19"/>
        <v>1.8622685185185173E-2</v>
      </c>
      <c r="N559">
        <f t="shared" si="20"/>
        <v>5</v>
      </c>
    </row>
    <row r="560" spans="1:14" x14ac:dyDescent="0.3">
      <c r="A560" s="1"/>
      <c r="B560" s="1"/>
      <c r="C560" s="1"/>
      <c r="D560" s="1"/>
      <c r="E560" s="1"/>
      <c r="F560" s="1"/>
      <c r="G560" s="9" t="s">
        <v>2203</v>
      </c>
      <c r="H560" s="9" t="s">
        <v>119</v>
      </c>
      <c r="I560" s="9" t="s">
        <v>1945</v>
      </c>
      <c r="J560" s="9" t="s">
        <v>1912</v>
      </c>
      <c r="K560" s="3" t="s">
        <v>1291</v>
      </c>
      <c r="L560" s="13" t="s">
        <v>2204</v>
      </c>
      <c r="M560" s="15">
        <f t="shared" si="19"/>
        <v>2.9259259259259318E-2</v>
      </c>
      <c r="N560">
        <f t="shared" si="20"/>
        <v>15</v>
      </c>
    </row>
    <row r="561" spans="1:14" x14ac:dyDescent="0.3">
      <c r="A561" s="1"/>
      <c r="B561" s="1"/>
      <c r="C561" s="9" t="s">
        <v>177</v>
      </c>
      <c r="D561" s="9" t="s">
        <v>178</v>
      </c>
      <c r="E561" s="9" t="s">
        <v>178</v>
      </c>
      <c r="F561" s="9" t="s">
        <v>22</v>
      </c>
      <c r="G561" s="11" t="s">
        <v>19</v>
      </c>
      <c r="H561" s="2"/>
      <c r="I561" s="2"/>
      <c r="J561" s="7"/>
      <c r="K561" s="4"/>
      <c r="L561" s="12"/>
    </row>
    <row r="562" spans="1:14" x14ac:dyDescent="0.3">
      <c r="A562" s="1"/>
      <c r="B562" s="1"/>
      <c r="C562" s="1"/>
      <c r="D562" s="1"/>
      <c r="E562" s="1"/>
      <c r="F562" s="1"/>
      <c r="G562" s="9" t="s">
        <v>371</v>
      </c>
      <c r="H562" s="9" t="s">
        <v>119</v>
      </c>
      <c r="I562" s="9" t="s">
        <v>25</v>
      </c>
      <c r="J562" s="9" t="s">
        <v>1912</v>
      </c>
      <c r="K562" s="3" t="s">
        <v>372</v>
      </c>
      <c r="L562" s="13" t="s">
        <v>373</v>
      </c>
      <c r="M562" s="15">
        <f t="shared" si="19"/>
        <v>3.8993055555555545E-2</v>
      </c>
      <c r="N562">
        <f t="shared" si="20"/>
        <v>14</v>
      </c>
    </row>
    <row r="563" spans="1:14" x14ac:dyDescent="0.3">
      <c r="A563" s="1"/>
      <c r="B563" s="1"/>
      <c r="C563" s="1"/>
      <c r="D563" s="1"/>
      <c r="E563" s="1"/>
      <c r="F563" s="1"/>
      <c r="G563" s="9" t="s">
        <v>374</v>
      </c>
      <c r="H563" s="9" t="s">
        <v>119</v>
      </c>
      <c r="I563" s="9" t="s">
        <v>25</v>
      </c>
      <c r="J563" s="9" t="s">
        <v>1912</v>
      </c>
      <c r="K563" s="3" t="s">
        <v>375</v>
      </c>
      <c r="L563" s="13" t="s">
        <v>376</v>
      </c>
      <c r="M563" s="15">
        <f t="shared" si="19"/>
        <v>1.3587962962963052E-2</v>
      </c>
      <c r="N563">
        <f t="shared" si="20"/>
        <v>17</v>
      </c>
    </row>
    <row r="564" spans="1:14" x14ac:dyDescent="0.3">
      <c r="A564" s="1"/>
      <c r="B564" s="1"/>
      <c r="C564" s="1"/>
      <c r="D564" s="1"/>
      <c r="E564" s="1"/>
      <c r="F564" s="1"/>
      <c r="G564" s="9" t="s">
        <v>789</v>
      </c>
      <c r="H564" s="9" t="s">
        <v>119</v>
      </c>
      <c r="I564" s="9" t="s">
        <v>486</v>
      </c>
      <c r="J564" s="9" t="s">
        <v>1912</v>
      </c>
      <c r="K564" s="3" t="s">
        <v>790</v>
      </c>
      <c r="L564" s="13" t="s">
        <v>791</v>
      </c>
      <c r="M564" s="15">
        <f t="shared" si="19"/>
        <v>1.5694444444444455E-2</v>
      </c>
      <c r="N564">
        <f t="shared" si="20"/>
        <v>18</v>
      </c>
    </row>
    <row r="565" spans="1:14" x14ac:dyDescent="0.3">
      <c r="A565" s="1"/>
      <c r="B565" s="1"/>
      <c r="C565" s="1"/>
      <c r="D565" s="1"/>
      <c r="E565" s="1"/>
      <c r="F565" s="1"/>
      <c r="G565" s="9" t="s">
        <v>792</v>
      </c>
      <c r="H565" s="9" t="s">
        <v>119</v>
      </c>
      <c r="I565" s="9" t="s">
        <v>486</v>
      </c>
      <c r="J565" s="9" t="s">
        <v>1912</v>
      </c>
      <c r="K565" s="3" t="s">
        <v>793</v>
      </c>
      <c r="L565" s="13" t="s">
        <v>794</v>
      </c>
      <c r="M565" s="15">
        <f t="shared" si="19"/>
        <v>1.5972222222222276E-2</v>
      </c>
      <c r="N565">
        <f t="shared" si="20"/>
        <v>21</v>
      </c>
    </row>
    <row r="566" spans="1:14" x14ac:dyDescent="0.3">
      <c r="A566" s="1"/>
      <c r="B566" s="1"/>
      <c r="C566" s="1"/>
      <c r="D566" s="1"/>
      <c r="E566" s="1"/>
      <c r="F566" s="1"/>
      <c r="G566" s="9" t="s">
        <v>1173</v>
      </c>
      <c r="H566" s="9" t="s">
        <v>119</v>
      </c>
      <c r="I566" s="9" t="s">
        <v>926</v>
      </c>
      <c r="J566" s="9" t="s">
        <v>1912</v>
      </c>
      <c r="K566" s="3" t="s">
        <v>1174</v>
      </c>
      <c r="L566" s="13" t="s">
        <v>1175</v>
      </c>
      <c r="M566" s="15">
        <f t="shared" si="19"/>
        <v>2.02662037037038E-2</v>
      </c>
      <c r="N566">
        <f t="shared" si="20"/>
        <v>19</v>
      </c>
    </row>
    <row r="567" spans="1:14" x14ac:dyDescent="0.3">
      <c r="A567" s="1"/>
      <c r="B567" s="1"/>
      <c r="C567" s="1"/>
      <c r="D567" s="1"/>
      <c r="E567" s="1"/>
      <c r="F567" s="1"/>
      <c r="G567" s="9" t="s">
        <v>1612</v>
      </c>
      <c r="H567" s="9" t="s">
        <v>119</v>
      </c>
      <c r="I567" s="9" t="s">
        <v>1296</v>
      </c>
      <c r="J567" s="9" t="s">
        <v>1912</v>
      </c>
      <c r="K567" s="3" t="s">
        <v>1613</v>
      </c>
      <c r="L567" s="13" t="s">
        <v>1614</v>
      </c>
      <c r="M567" s="15">
        <f t="shared" si="19"/>
        <v>2.3831018518518543E-2</v>
      </c>
      <c r="N567">
        <f t="shared" si="20"/>
        <v>18</v>
      </c>
    </row>
    <row r="568" spans="1:14" x14ac:dyDescent="0.3">
      <c r="A568" s="1"/>
      <c r="B568" s="1"/>
      <c r="C568" s="1"/>
      <c r="D568" s="1"/>
      <c r="E568" s="1"/>
      <c r="F568" s="1"/>
      <c r="G568" s="9" t="s">
        <v>1615</v>
      </c>
      <c r="H568" s="9" t="s">
        <v>119</v>
      </c>
      <c r="I568" s="9" t="s">
        <v>1296</v>
      </c>
      <c r="J568" s="9" t="s">
        <v>1912</v>
      </c>
      <c r="K568" s="3" t="s">
        <v>1616</v>
      </c>
      <c r="L568" s="13" t="s">
        <v>1617</v>
      </c>
      <c r="M568" s="15">
        <f t="shared" si="19"/>
        <v>1.7152777777777684E-2</v>
      </c>
      <c r="N568">
        <f t="shared" si="20"/>
        <v>22</v>
      </c>
    </row>
    <row r="569" spans="1:14" x14ac:dyDescent="0.3">
      <c r="A569" s="1"/>
      <c r="B569" s="1"/>
      <c r="C569" s="1"/>
      <c r="D569" s="1"/>
      <c r="E569" s="1"/>
      <c r="F569" s="1"/>
      <c r="G569" s="9" t="s">
        <v>2205</v>
      </c>
      <c r="H569" s="9" t="s">
        <v>119</v>
      </c>
      <c r="I569" s="9" t="s">
        <v>1914</v>
      </c>
      <c r="J569" s="9" t="s">
        <v>1912</v>
      </c>
      <c r="K569" s="3" t="s">
        <v>2206</v>
      </c>
      <c r="L569" s="13" t="s">
        <v>2207</v>
      </c>
      <c r="M569" s="15">
        <f t="shared" si="19"/>
        <v>2.0949074074074092E-2</v>
      </c>
      <c r="N569">
        <f t="shared" si="20"/>
        <v>9</v>
      </c>
    </row>
    <row r="570" spans="1:14" x14ac:dyDescent="0.3">
      <c r="A570" s="1"/>
      <c r="B570" s="1"/>
      <c r="C570" s="1"/>
      <c r="D570" s="1"/>
      <c r="E570" s="1"/>
      <c r="F570" s="1"/>
      <c r="G570" s="9" t="s">
        <v>2208</v>
      </c>
      <c r="H570" s="9" t="s">
        <v>119</v>
      </c>
      <c r="I570" s="9" t="s">
        <v>1914</v>
      </c>
      <c r="J570" s="9" t="s">
        <v>1912</v>
      </c>
      <c r="K570" s="3" t="s">
        <v>2209</v>
      </c>
      <c r="L570" s="13" t="s">
        <v>2210</v>
      </c>
      <c r="M570" s="15">
        <f t="shared" si="19"/>
        <v>3.616898148148151E-2</v>
      </c>
      <c r="N570">
        <f t="shared" si="20"/>
        <v>10</v>
      </c>
    </row>
    <row r="571" spans="1:14" x14ac:dyDescent="0.3">
      <c r="A571" s="1"/>
      <c r="B571" s="1"/>
      <c r="C571" s="1"/>
      <c r="D571" s="1"/>
      <c r="E571" s="1"/>
      <c r="F571" s="1"/>
      <c r="G571" s="9" t="s">
        <v>2211</v>
      </c>
      <c r="H571" s="9" t="s">
        <v>119</v>
      </c>
      <c r="I571" s="9" t="s">
        <v>1914</v>
      </c>
      <c r="J571" s="9" t="s">
        <v>1912</v>
      </c>
      <c r="K571" s="3" t="s">
        <v>2212</v>
      </c>
      <c r="L571" s="13" t="s">
        <v>2213</v>
      </c>
      <c r="M571" s="15">
        <f t="shared" si="19"/>
        <v>1.6319444444444442E-2</v>
      </c>
      <c r="N571">
        <f t="shared" si="20"/>
        <v>12</v>
      </c>
    </row>
    <row r="572" spans="1:14" x14ac:dyDescent="0.3">
      <c r="A572" s="1"/>
      <c r="B572" s="1"/>
      <c r="C572" s="1"/>
      <c r="D572" s="1"/>
      <c r="E572" s="1"/>
      <c r="F572" s="1"/>
      <c r="G572" s="9" t="s">
        <v>2214</v>
      </c>
      <c r="H572" s="9" t="s">
        <v>119</v>
      </c>
      <c r="I572" s="9" t="s">
        <v>1914</v>
      </c>
      <c r="J572" s="9" t="s">
        <v>1912</v>
      </c>
      <c r="K572" s="3" t="s">
        <v>2215</v>
      </c>
      <c r="L572" s="13" t="s">
        <v>2216</v>
      </c>
      <c r="M572" s="15">
        <f t="shared" si="19"/>
        <v>1.5821759259259327E-2</v>
      </c>
      <c r="N572">
        <f t="shared" si="20"/>
        <v>16</v>
      </c>
    </row>
    <row r="573" spans="1:14" x14ac:dyDescent="0.3">
      <c r="A573" s="1"/>
      <c r="B573" s="1"/>
      <c r="C573" s="9" t="s">
        <v>185</v>
      </c>
      <c r="D573" s="9" t="s">
        <v>186</v>
      </c>
      <c r="E573" s="9" t="s">
        <v>186</v>
      </c>
      <c r="F573" s="9" t="s">
        <v>22</v>
      </c>
      <c r="G573" s="11" t="s">
        <v>19</v>
      </c>
      <c r="H573" s="2"/>
      <c r="I573" s="2"/>
      <c r="J573" s="7"/>
      <c r="K573" s="4"/>
      <c r="L573" s="12"/>
    </row>
    <row r="574" spans="1:14" x14ac:dyDescent="0.3">
      <c r="A574" s="1"/>
      <c r="B574" s="1"/>
      <c r="C574" s="1"/>
      <c r="D574" s="1"/>
      <c r="E574" s="1"/>
      <c r="F574" s="1"/>
      <c r="G574" s="9" t="s">
        <v>377</v>
      </c>
      <c r="H574" s="9" t="s">
        <v>119</v>
      </c>
      <c r="I574" s="9" t="s">
        <v>25</v>
      </c>
      <c r="J574" s="9" t="s">
        <v>1912</v>
      </c>
      <c r="K574" s="3" t="s">
        <v>378</v>
      </c>
      <c r="L574" s="13" t="s">
        <v>379</v>
      </c>
      <c r="M574" s="15">
        <f t="shared" si="19"/>
        <v>4.7280092592592637E-2</v>
      </c>
      <c r="N574">
        <f t="shared" si="20"/>
        <v>10</v>
      </c>
    </row>
    <row r="575" spans="1:14" x14ac:dyDescent="0.3">
      <c r="A575" s="1"/>
      <c r="B575" s="1"/>
      <c r="C575" s="1"/>
      <c r="D575" s="1"/>
      <c r="E575" s="1"/>
      <c r="F575" s="1"/>
      <c r="G575" s="9" t="s">
        <v>1176</v>
      </c>
      <c r="H575" s="9" t="s">
        <v>119</v>
      </c>
      <c r="I575" s="9" t="s">
        <v>926</v>
      </c>
      <c r="J575" s="9" t="s">
        <v>1912</v>
      </c>
      <c r="K575" s="3" t="s">
        <v>1177</v>
      </c>
      <c r="L575" s="13" t="s">
        <v>1178</v>
      </c>
      <c r="M575" s="15">
        <f t="shared" si="19"/>
        <v>1.5636574074074094E-2</v>
      </c>
      <c r="N575">
        <f t="shared" si="20"/>
        <v>3</v>
      </c>
    </row>
    <row r="576" spans="1:14" x14ac:dyDescent="0.3">
      <c r="A576" s="1"/>
      <c r="B576" s="1"/>
      <c r="C576" s="1"/>
      <c r="D576" s="1"/>
      <c r="E576" s="1"/>
      <c r="F576" s="1"/>
      <c r="G576" s="9" t="s">
        <v>1179</v>
      </c>
      <c r="H576" s="9" t="s">
        <v>119</v>
      </c>
      <c r="I576" s="9" t="s">
        <v>926</v>
      </c>
      <c r="J576" s="9" t="s">
        <v>1912</v>
      </c>
      <c r="K576" s="3" t="s">
        <v>1180</v>
      </c>
      <c r="L576" s="13" t="s">
        <v>1181</v>
      </c>
      <c r="M576" s="15">
        <f t="shared" si="19"/>
        <v>3.7361111111111123E-2</v>
      </c>
      <c r="N576">
        <f t="shared" si="20"/>
        <v>6</v>
      </c>
    </row>
    <row r="577" spans="1:14" x14ac:dyDescent="0.3">
      <c r="A577" s="1"/>
      <c r="B577" s="1"/>
      <c r="C577" s="1"/>
      <c r="D577" s="1"/>
      <c r="E577" s="1"/>
      <c r="F577" s="1"/>
      <c r="G577" s="9" t="s">
        <v>1618</v>
      </c>
      <c r="H577" s="9" t="s">
        <v>119</v>
      </c>
      <c r="I577" s="9" t="s">
        <v>1296</v>
      </c>
      <c r="J577" s="9" t="s">
        <v>1912</v>
      </c>
      <c r="K577" s="3" t="s">
        <v>1619</v>
      </c>
      <c r="L577" s="13" t="s">
        <v>797</v>
      </c>
      <c r="M577" s="15">
        <f t="shared" si="19"/>
        <v>3.1631944444444393E-2</v>
      </c>
      <c r="N577">
        <f t="shared" si="20"/>
        <v>6</v>
      </c>
    </row>
    <row r="578" spans="1:14" x14ac:dyDescent="0.3">
      <c r="A578" s="1"/>
      <c r="B578" s="1"/>
      <c r="C578" s="1"/>
      <c r="D578" s="1"/>
      <c r="E578" s="1"/>
      <c r="F578" s="1"/>
      <c r="G578" s="9" t="s">
        <v>1620</v>
      </c>
      <c r="H578" s="9" t="s">
        <v>119</v>
      </c>
      <c r="I578" s="9" t="s">
        <v>1296</v>
      </c>
      <c r="J578" s="9" t="s">
        <v>1912</v>
      </c>
      <c r="K578" s="3" t="s">
        <v>1621</v>
      </c>
      <c r="L578" s="13" t="s">
        <v>1622</v>
      </c>
      <c r="M578" s="15">
        <f t="shared" si="19"/>
        <v>1.804398148148148E-2</v>
      </c>
      <c r="N578">
        <f t="shared" si="20"/>
        <v>3</v>
      </c>
    </row>
    <row r="579" spans="1:14" x14ac:dyDescent="0.3">
      <c r="A579" s="1"/>
      <c r="B579" s="1"/>
      <c r="C579" s="9" t="s">
        <v>47</v>
      </c>
      <c r="D579" s="9" t="s">
        <v>48</v>
      </c>
      <c r="E579" s="11" t="s">
        <v>19</v>
      </c>
      <c r="F579" s="2"/>
      <c r="G579" s="2"/>
      <c r="H579" s="2"/>
      <c r="I579" s="2"/>
      <c r="J579" s="7"/>
      <c r="K579" s="4"/>
      <c r="L579" s="12"/>
    </row>
    <row r="580" spans="1:14" x14ac:dyDescent="0.3">
      <c r="A580" s="1"/>
      <c r="B580" s="1"/>
      <c r="C580" s="1"/>
      <c r="D580" s="1"/>
      <c r="E580" s="9" t="s">
        <v>190</v>
      </c>
      <c r="F580" s="9" t="s">
        <v>22</v>
      </c>
      <c r="G580" s="11" t="s">
        <v>19</v>
      </c>
      <c r="H580" s="2"/>
      <c r="I580" s="2"/>
      <c r="J580" s="7"/>
      <c r="K580" s="4"/>
      <c r="L580" s="12"/>
    </row>
    <row r="581" spans="1:14" x14ac:dyDescent="0.3">
      <c r="A581" s="1"/>
      <c r="B581" s="1"/>
      <c r="C581" s="1"/>
      <c r="D581" s="1"/>
      <c r="E581" s="1"/>
      <c r="F581" s="1"/>
      <c r="G581" s="9" t="s">
        <v>380</v>
      </c>
      <c r="H581" s="9" t="s">
        <v>192</v>
      </c>
      <c r="I581" s="9" t="s">
        <v>25</v>
      </c>
      <c r="J581" s="9" t="s">
        <v>1912</v>
      </c>
      <c r="K581" s="3" t="s">
        <v>381</v>
      </c>
      <c r="L581" s="13" t="s">
        <v>382</v>
      </c>
      <c r="M581" s="15">
        <f t="shared" ref="M581:M642" si="21">L581-K581</f>
        <v>1.3831018518518534E-2</v>
      </c>
      <c r="N581">
        <f t="shared" ref="N581:N642" si="22">HOUR(K581)</f>
        <v>6</v>
      </c>
    </row>
    <row r="582" spans="1:14" x14ac:dyDescent="0.3">
      <c r="A582" s="1"/>
      <c r="B582" s="1"/>
      <c r="C582" s="1"/>
      <c r="D582" s="1"/>
      <c r="E582" s="1"/>
      <c r="F582" s="1"/>
      <c r="G582" s="9" t="s">
        <v>383</v>
      </c>
      <c r="H582" s="9" t="s">
        <v>192</v>
      </c>
      <c r="I582" s="9" t="s">
        <v>25</v>
      </c>
      <c r="J582" s="9" t="s">
        <v>1912</v>
      </c>
      <c r="K582" s="3" t="s">
        <v>384</v>
      </c>
      <c r="L582" s="13" t="s">
        <v>385</v>
      </c>
      <c r="M582" s="15">
        <f t="shared" si="21"/>
        <v>1.635416666666667E-2</v>
      </c>
      <c r="N582">
        <f t="shared" si="22"/>
        <v>9</v>
      </c>
    </row>
    <row r="583" spans="1:14" x14ac:dyDescent="0.3">
      <c r="A583" s="1"/>
      <c r="B583" s="1"/>
      <c r="C583" s="1"/>
      <c r="D583" s="1"/>
      <c r="E583" s="1"/>
      <c r="F583" s="1"/>
      <c r="G583" s="9" t="s">
        <v>386</v>
      </c>
      <c r="H583" s="9" t="s">
        <v>192</v>
      </c>
      <c r="I583" s="9" t="s">
        <v>25</v>
      </c>
      <c r="J583" s="9" t="s">
        <v>1912</v>
      </c>
      <c r="K583" s="3" t="s">
        <v>387</v>
      </c>
      <c r="L583" s="13" t="s">
        <v>388</v>
      </c>
      <c r="M583" s="15">
        <f t="shared" si="21"/>
        <v>2.1111111111111081E-2</v>
      </c>
      <c r="N583">
        <f t="shared" si="22"/>
        <v>9</v>
      </c>
    </row>
    <row r="584" spans="1:14" x14ac:dyDescent="0.3">
      <c r="A584" s="1"/>
      <c r="B584" s="1"/>
      <c r="C584" s="1"/>
      <c r="D584" s="1"/>
      <c r="E584" s="1"/>
      <c r="F584" s="1"/>
      <c r="G584" s="9" t="s">
        <v>389</v>
      </c>
      <c r="H584" s="9" t="s">
        <v>192</v>
      </c>
      <c r="I584" s="9" t="s">
        <v>25</v>
      </c>
      <c r="J584" s="9" t="s">
        <v>1912</v>
      </c>
      <c r="K584" s="3" t="s">
        <v>390</v>
      </c>
      <c r="L584" s="13" t="s">
        <v>391</v>
      </c>
      <c r="M584" s="15">
        <f t="shared" si="21"/>
        <v>4.2361111111111072E-2</v>
      </c>
      <c r="N584">
        <f t="shared" si="22"/>
        <v>10</v>
      </c>
    </row>
    <row r="585" spans="1:14" x14ac:dyDescent="0.3">
      <c r="A585" s="1"/>
      <c r="B585" s="1"/>
      <c r="C585" s="1"/>
      <c r="D585" s="1"/>
      <c r="E585" s="1"/>
      <c r="F585" s="1"/>
      <c r="G585" s="9" t="s">
        <v>392</v>
      </c>
      <c r="H585" s="9" t="s">
        <v>192</v>
      </c>
      <c r="I585" s="9" t="s">
        <v>25</v>
      </c>
      <c r="J585" s="9" t="s">
        <v>1912</v>
      </c>
      <c r="K585" s="3" t="s">
        <v>393</v>
      </c>
      <c r="L585" s="13" t="s">
        <v>394</v>
      </c>
      <c r="M585" s="15">
        <f t="shared" si="21"/>
        <v>4.3206018518518519E-2</v>
      </c>
      <c r="N585">
        <f t="shared" si="22"/>
        <v>10</v>
      </c>
    </row>
    <row r="586" spans="1:14" x14ac:dyDescent="0.3">
      <c r="A586" s="1"/>
      <c r="B586" s="1"/>
      <c r="C586" s="1"/>
      <c r="D586" s="1"/>
      <c r="E586" s="1"/>
      <c r="F586" s="1"/>
      <c r="G586" s="9" t="s">
        <v>795</v>
      </c>
      <c r="H586" s="9" t="s">
        <v>192</v>
      </c>
      <c r="I586" s="9" t="s">
        <v>486</v>
      </c>
      <c r="J586" s="9" t="s">
        <v>1912</v>
      </c>
      <c r="K586" s="3" t="s">
        <v>796</v>
      </c>
      <c r="L586" s="13" t="s">
        <v>797</v>
      </c>
      <c r="M586" s="15">
        <f t="shared" si="21"/>
        <v>3.1342592592592589E-2</v>
      </c>
      <c r="N586">
        <f t="shared" si="22"/>
        <v>6</v>
      </c>
    </row>
    <row r="587" spans="1:14" x14ac:dyDescent="0.3">
      <c r="A587" s="1"/>
      <c r="B587" s="1"/>
      <c r="C587" s="1"/>
      <c r="D587" s="1"/>
      <c r="E587" s="1"/>
      <c r="F587" s="1"/>
      <c r="G587" s="9" t="s">
        <v>1623</v>
      </c>
      <c r="H587" s="9" t="s">
        <v>192</v>
      </c>
      <c r="I587" s="9" t="s">
        <v>1296</v>
      </c>
      <c r="J587" s="9" t="s">
        <v>1912</v>
      </c>
      <c r="K587" s="3" t="s">
        <v>1624</v>
      </c>
      <c r="L587" s="13" t="s">
        <v>1625</v>
      </c>
      <c r="M587" s="15">
        <f t="shared" si="21"/>
        <v>1.7280092592592583E-2</v>
      </c>
      <c r="N587">
        <f t="shared" si="22"/>
        <v>5</v>
      </c>
    </row>
    <row r="588" spans="1:14" x14ac:dyDescent="0.3">
      <c r="A588" s="1"/>
      <c r="B588" s="1"/>
      <c r="C588" s="1"/>
      <c r="D588" s="1"/>
      <c r="E588" s="1"/>
      <c r="F588" s="1"/>
      <c r="G588" s="9" t="s">
        <v>1626</v>
      </c>
      <c r="H588" s="9" t="s">
        <v>192</v>
      </c>
      <c r="I588" s="9" t="s">
        <v>1296</v>
      </c>
      <c r="J588" s="9" t="s">
        <v>1912</v>
      </c>
      <c r="K588" s="3" t="s">
        <v>1627</v>
      </c>
      <c r="L588" s="13" t="s">
        <v>1628</v>
      </c>
      <c r="M588" s="15">
        <f t="shared" si="21"/>
        <v>3.3784722222222174E-2</v>
      </c>
      <c r="N588">
        <f t="shared" si="22"/>
        <v>10</v>
      </c>
    </row>
    <row r="589" spans="1:14" x14ac:dyDescent="0.3">
      <c r="A589" s="1"/>
      <c r="B589" s="1"/>
      <c r="C589" s="1"/>
      <c r="D589" s="1"/>
      <c r="E589" s="1"/>
      <c r="F589" s="1"/>
      <c r="G589" s="9" t="s">
        <v>1629</v>
      </c>
      <c r="H589" s="9" t="s">
        <v>192</v>
      </c>
      <c r="I589" s="9" t="s">
        <v>1296</v>
      </c>
      <c r="J589" s="9" t="s">
        <v>1912</v>
      </c>
      <c r="K589" s="3" t="s">
        <v>1630</v>
      </c>
      <c r="L589" s="13" t="s">
        <v>1631</v>
      </c>
      <c r="M589" s="15">
        <f t="shared" si="21"/>
        <v>3.6307870370370421E-2</v>
      </c>
      <c r="N589">
        <f t="shared" si="22"/>
        <v>10</v>
      </c>
    </row>
    <row r="590" spans="1:14" x14ac:dyDescent="0.3">
      <c r="A590" s="1"/>
      <c r="B590" s="1"/>
      <c r="C590" s="1"/>
      <c r="D590" s="1"/>
      <c r="E590" s="1"/>
      <c r="F590" s="1"/>
      <c r="G590" s="9" t="s">
        <v>1632</v>
      </c>
      <c r="H590" s="9" t="s">
        <v>192</v>
      </c>
      <c r="I590" s="9" t="s">
        <v>1296</v>
      </c>
      <c r="J590" s="9" t="s">
        <v>1912</v>
      </c>
      <c r="K590" s="3" t="s">
        <v>1633</v>
      </c>
      <c r="L590" s="13" t="s">
        <v>1634</v>
      </c>
      <c r="M590" s="15">
        <f t="shared" si="21"/>
        <v>1.3310185185185119E-2</v>
      </c>
      <c r="N590">
        <f t="shared" si="22"/>
        <v>16</v>
      </c>
    </row>
    <row r="591" spans="1:14" x14ac:dyDescent="0.3">
      <c r="A591" s="1"/>
      <c r="B591" s="1"/>
      <c r="C591" s="1"/>
      <c r="D591" s="1"/>
      <c r="E591" s="1"/>
      <c r="F591" s="1"/>
      <c r="G591" s="9" t="s">
        <v>2217</v>
      </c>
      <c r="H591" s="9" t="s">
        <v>192</v>
      </c>
      <c r="I591" s="9" t="s">
        <v>1914</v>
      </c>
      <c r="J591" s="9" t="s">
        <v>1912</v>
      </c>
      <c r="K591" s="3" t="s">
        <v>2218</v>
      </c>
      <c r="L591" s="13" t="s">
        <v>2219</v>
      </c>
      <c r="M591" s="15">
        <f t="shared" si="21"/>
        <v>1.7685185185185165E-2</v>
      </c>
      <c r="N591">
        <f t="shared" si="22"/>
        <v>4</v>
      </c>
    </row>
    <row r="592" spans="1:14" x14ac:dyDescent="0.3">
      <c r="A592" s="1"/>
      <c r="B592" s="1"/>
      <c r="C592" s="1"/>
      <c r="D592" s="1"/>
      <c r="E592" s="1"/>
      <c r="F592" s="1"/>
      <c r="G592" s="9" t="s">
        <v>2220</v>
      </c>
      <c r="H592" s="9" t="s">
        <v>192</v>
      </c>
      <c r="I592" s="9" t="s">
        <v>1914</v>
      </c>
      <c r="J592" s="9" t="s">
        <v>1912</v>
      </c>
      <c r="K592" s="3" t="s">
        <v>2221</v>
      </c>
      <c r="L592" s="13" t="s">
        <v>2222</v>
      </c>
      <c r="M592" s="15">
        <f t="shared" si="21"/>
        <v>2.6423611111111023E-2</v>
      </c>
      <c r="N592">
        <f t="shared" si="22"/>
        <v>9</v>
      </c>
    </row>
    <row r="593" spans="1:14" x14ac:dyDescent="0.3">
      <c r="A593" s="1"/>
      <c r="B593" s="1"/>
      <c r="C593" s="1"/>
      <c r="D593" s="1"/>
      <c r="E593" s="9" t="s">
        <v>48</v>
      </c>
      <c r="F593" s="9" t="s">
        <v>22</v>
      </c>
      <c r="G593" s="11" t="s">
        <v>19</v>
      </c>
      <c r="H593" s="2"/>
      <c r="I593" s="2"/>
      <c r="J593" s="7"/>
      <c r="K593" s="4"/>
      <c r="L593" s="12"/>
    </row>
    <row r="594" spans="1:14" x14ac:dyDescent="0.3">
      <c r="A594" s="1"/>
      <c r="B594" s="1"/>
      <c r="C594" s="1"/>
      <c r="D594" s="1"/>
      <c r="E594" s="1"/>
      <c r="F594" s="1"/>
      <c r="G594" s="9" t="s">
        <v>1182</v>
      </c>
      <c r="H594" s="9" t="s">
        <v>192</v>
      </c>
      <c r="I594" s="9" t="s">
        <v>926</v>
      </c>
      <c r="J594" s="9" t="s">
        <v>1912</v>
      </c>
      <c r="K594" s="3" t="s">
        <v>1183</v>
      </c>
      <c r="L594" s="13" t="s">
        <v>1184</v>
      </c>
      <c r="M594" s="15">
        <f t="shared" si="21"/>
        <v>3.1724537037037037E-2</v>
      </c>
      <c r="N594">
        <f t="shared" si="22"/>
        <v>13</v>
      </c>
    </row>
    <row r="595" spans="1:14" x14ac:dyDescent="0.3">
      <c r="A595" s="1"/>
      <c r="B595" s="1"/>
      <c r="C595" s="1"/>
      <c r="D595" s="1"/>
      <c r="E595" s="1"/>
      <c r="F595" s="1"/>
      <c r="G595" s="9" t="s">
        <v>1185</v>
      </c>
      <c r="H595" s="9" t="s">
        <v>192</v>
      </c>
      <c r="I595" s="9" t="s">
        <v>926</v>
      </c>
      <c r="J595" s="9" t="s">
        <v>1912</v>
      </c>
      <c r="K595" s="3" t="s">
        <v>1186</v>
      </c>
      <c r="L595" s="13" t="s">
        <v>1187</v>
      </c>
      <c r="M595" s="15">
        <f t="shared" si="21"/>
        <v>1.6585648148148113E-2</v>
      </c>
      <c r="N595">
        <f t="shared" si="22"/>
        <v>17</v>
      </c>
    </row>
    <row r="596" spans="1:14" x14ac:dyDescent="0.3">
      <c r="A596" s="1"/>
      <c r="B596" s="1"/>
      <c r="C596" s="1"/>
      <c r="D596" s="1"/>
      <c r="E596" s="1"/>
      <c r="F596" s="1"/>
      <c r="G596" s="9" t="s">
        <v>1188</v>
      </c>
      <c r="H596" s="9" t="s">
        <v>192</v>
      </c>
      <c r="I596" s="9" t="s">
        <v>926</v>
      </c>
      <c r="J596" s="9" t="s">
        <v>1912</v>
      </c>
      <c r="K596" s="3" t="s">
        <v>1189</v>
      </c>
      <c r="L596" s="13" t="s">
        <v>1190</v>
      </c>
      <c r="M596" s="15">
        <f t="shared" si="21"/>
        <v>2.8622685185185293E-2</v>
      </c>
      <c r="N596">
        <f t="shared" si="22"/>
        <v>18</v>
      </c>
    </row>
    <row r="597" spans="1:14" x14ac:dyDescent="0.3">
      <c r="A597" s="1"/>
      <c r="B597" s="1"/>
      <c r="C597" s="1"/>
      <c r="D597" s="1"/>
      <c r="E597" s="1"/>
      <c r="F597" s="1"/>
      <c r="G597" s="9" t="s">
        <v>1635</v>
      </c>
      <c r="H597" s="9" t="s">
        <v>192</v>
      </c>
      <c r="I597" s="9" t="s">
        <v>1296</v>
      </c>
      <c r="J597" s="9" t="s">
        <v>1912</v>
      </c>
      <c r="K597" s="3" t="s">
        <v>1636</v>
      </c>
      <c r="L597" s="13" t="s">
        <v>1637</v>
      </c>
      <c r="M597" s="15">
        <f t="shared" si="21"/>
        <v>3.2673611111111167E-2</v>
      </c>
      <c r="N597">
        <f t="shared" si="22"/>
        <v>9</v>
      </c>
    </row>
    <row r="598" spans="1:14" x14ac:dyDescent="0.3">
      <c r="A598" s="1"/>
      <c r="B598" s="1"/>
      <c r="C598" s="1"/>
      <c r="D598" s="1"/>
      <c r="E598" s="1"/>
      <c r="F598" s="1"/>
      <c r="G598" s="9" t="s">
        <v>1638</v>
      </c>
      <c r="H598" s="9" t="s">
        <v>192</v>
      </c>
      <c r="I598" s="9" t="s">
        <v>1296</v>
      </c>
      <c r="J598" s="9" t="s">
        <v>1912</v>
      </c>
      <c r="K598" s="3" t="s">
        <v>1639</v>
      </c>
      <c r="L598" s="13" t="s">
        <v>1640</v>
      </c>
      <c r="M598" s="15">
        <f t="shared" si="21"/>
        <v>2.6203703703703618E-2</v>
      </c>
      <c r="N598">
        <f t="shared" si="22"/>
        <v>12</v>
      </c>
    </row>
    <row r="599" spans="1:14" x14ac:dyDescent="0.3">
      <c r="A599" s="1"/>
      <c r="B599" s="1"/>
      <c r="C599" s="1"/>
      <c r="D599" s="1"/>
      <c r="E599" s="1"/>
      <c r="F599" s="1"/>
      <c r="G599" s="9" t="s">
        <v>1641</v>
      </c>
      <c r="H599" s="9" t="s">
        <v>192</v>
      </c>
      <c r="I599" s="9" t="s">
        <v>1296</v>
      </c>
      <c r="J599" s="9" t="s">
        <v>1912</v>
      </c>
      <c r="K599" s="3" t="s">
        <v>1642</v>
      </c>
      <c r="L599" s="13" t="s">
        <v>1186</v>
      </c>
      <c r="M599" s="15">
        <f t="shared" si="21"/>
        <v>2.6793981481481488E-2</v>
      </c>
      <c r="N599">
        <f t="shared" si="22"/>
        <v>16</v>
      </c>
    </row>
    <row r="600" spans="1:14" x14ac:dyDescent="0.3">
      <c r="A600" s="1"/>
      <c r="B600" s="1"/>
      <c r="C600" s="1"/>
      <c r="D600" s="1"/>
      <c r="E600" s="1"/>
      <c r="F600" s="1"/>
      <c r="G600" s="9" t="s">
        <v>1643</v>
      </c>
      <c r="H600" s="9" t="s">
        <v>192</v>
      </c>
      <c r="I600" s="9" t="s">
        <v>1296</v>
      </c>
      <c r="J600" s="9" t="s">
        <v>1912</v>
      </c>
      <c r="K600" s="3" t="s">
        <v>1644</v>
      </c>
      <c r="L600" s="13" t="s">
        <v>1645</v>
      </c>
      <c r="M600" s="15">
        <f t="shared" si="21"/>
        <v>1.8495370370370412E-2</v>
      </c>
      <c r="N600">
        <f t="shared" si="22"/>
        <v>17</v>
      </c>
    </row>
    <row r="601" spans="1:14" x14ac:dyDescent="0.3">
      <c r="A601" s="1"/>
      <c r="B601" s="1"/>
      <c r="C601" s="1"/>
      <c r="D601" s="1"/>
      <c r="E601" s="1"/>
      <c r="F601" s="1"/>
      <c r="G601" s="9" t="s">
        <v>2223</v>
      </c>
      <c r="H601" s="9" t="s">
        <v>192</v>
      </c>
      <c r="I601" s="9" t="s">
        <v>1914</v>
      </c>
      <c r="J601" s="9" t="s">
        <v>1912</v>
      </c>
      <c r="K601" s="3" t="s">
        <v>2224</v>
      </c>
      <c r="L601" s="13" t="s">
        <v>2225</v>
      </c>
      <c r="M601" s="15">
        <f t="shared" si="21"/>
        <v>1.9930555555555562E-2</v>
      </c>
      <c r="N601">
        <f t="shared" si="22"/>
        <v>13</v>
      </c>
    </row>
    <row r="602" spans="1:14" x14ac:dyDescent="0.3">
      <c r="A602" s="1"/>
      <c r="B602" s="1"/>
      <c r="C602" s="1"/>
      <c r="D602" s="1"/>
      <c r="E602" s="1"/>
      <c r="F602" s="1"/>
      <c r="G602" s="9" t="s">
        <v>2226</v>
      </c>
      <c r="H602" s="9" t="s">
        <v>192</v>
      </c>
      <c r="I602" s="9" t="s">
        <v>1914</v>
      </c>
      <c r="J602" s="9" t="s">
        <v>1912</v>
      </c>
      <c r="K602" s="3" t="s">
        <v>2227</v>
      </c>
      <c r="L602" s="13" t="s">
        <v>2228</v>
      </c>
      <c r="M602" s="15">
        <f t="shared" si="21"/>
        <v>1.8796296296296311E-2</v>
      </c>
      <c r="N602">
        <f t="shared" si="22"/>
        <v>17</v>
      </c>
    </row>
    <row r="603" spans="1:14" x14ac:dyDescent="0.3">
      <c r="A603" s="1"/>
      <c r="B603" s="1"/>
      <c r="C603" s="1"/>
      <c r="D603" s="1"/>
      <c r="E603" s="1"/>
      <c r="F603" s="1"/>
      <c r="G603" s="9" t="s">
        <v>2229</v>
      </c>
      <c r="H603" s="9" t="s">
        <v>192</v>
      </c>
      <c r="I603" s="9" t="s">
        <v>1914</v>
      </c>
      <c r="J603" s="9" t="s">
        <v>1912</v>
      </c>
      <c r="K603" s="3" t="s">
        <v>2230</v>
      </c>
      <c r="L603" s="13" t="s">
        <v>2231</v>
      </c>
      <c r="M603" s="15">
        <f t="shared" si="21"/>
        <v>2.2268518518518521E-2</v>
      </c>
      <c r="N603">
        <f t="shared" si="22"/>
        <v>19</v>
      </c>
    </row>
    <row r="604" spans="1:14" x14ac:dyDescent="0.3">
      <c r="A604" s="1"/>
      <c r="B604" s="1"/>
      <c r="C604" s="9" t="s">
        <v>798</v>
      </c>
      <c r="D604" s="9" t="s">
        <v>799</v>
      </c>
      <c r="E604" s="9" t="s">
        <v>799</v>
      </c>
      <c r="F604" s="9" t="s">
        <v>22</v>
      </c>
      <c r="G604" s="9" t="s">
        <v>800</v>
      </c>
      <c r="H604" s="9" t="s">
        <v>119</v>
      </c>
      <c r="I604" s="9" t="s">
        <v>486</v>
      </c>
      <c r="J604" s="9" t="s">
        <v>1912</v>
      </c>
      <c r="K604" s="3" t="s">
        <v>801</v>
      </c>
      <c r="L604" s="13" t="s">
        <v>802</v>
      </c>
      <c r="M604" s="15">
        <f t="shared" si="21"/>
        <v>2.2118055555555571E-2</v>
      </c>
      <c r="N604">
        <f t="shared" si="22"/>
        <v>8</v>
      </c>
    </row>
    <row r="605" spans="1:14" x14ac:dyDescent="0.3">
      <c r="A605" s="1"/>
      <c r="B605" s="1"/>
      <c r="C605" s="9" t="s">
        <v>395</v>
      </c>
      <c r="D605" s="9" t="s">
        <v>396</v>
      </c>
      <c r="E605" s="9" t="s">
        <v>396</v>
      </c>
      <c r="F605" s="9" t="s">
        <v>22</v>
      </c>
      <c r="G605" s="11" t="s">
        <v>19</v>
      </c>
      <c r="H605" s="2"/>
      <c r="I605" s="2"/>
      <c r="J605" s="7"/>
      <c r="K605" s="4"/>
      <c r="L605" s="12"/>
    </row>
    <row r="606" spans="1:14" x14ac:dyDescent="0.3">
      <c r="A606" s="1"/>
      <c r="B606" s="1"/>
      <c r="C606" s="1"/>
      <c r="D606" s="1"/>
      <c r="E606" s="1"/>
      <c r="F606" s="1"/>
      <c r="G606" s="9" t="s">
        <v>397</v>
      </c>
      <c r="H606" s="9" t="s">
        <v>119</v>
      </c>
      <c r="I606" s="9" t="s">
        <v>25</v>
      </c>
      <c r="J606" s="9" t="s">
        <v>1912</v>
      </c>
      <c r="K606" s="3" t="s">
        <v>398</v>
      </c>
      <c r="L606" s="13" t="s">
        <v>399</v>
      </c>
      <c r="M606" s="15">
        <f t="shared" si="21"/>
        <v>1.4803240740740742E-2</v>
      </c>
      <c r="N606">
        <f t="shared" si="22"/>
        <v>8</v>
      </c>
    </row>
    <row r="607" spans="1:14" x14ac:dyDescent="0.3">
      <c r="A607" s="1"/>
      <c r="B607" s="1"/>
      <c r="C607" s="1"/>
      <c r="D607" s="1"/>
      <c r="E607" s="1"/>
      <c r="F607" s="1"/>
      <c r="G607" s="9" t="s">
        <v>400</v>
      </c>
      <c r="H607" s="9" t="s">
        <v>119</v>
      </c>
      <c r="I607" s="9" t="s">
        <v>25</v>
      </c>
      <c r="J607" s="9" t="s">
        <v>1912</v>
      </c>
      <c r="K607" s="3" t="s">
        <v>401</v>
      </c>
      <c r="L607" s="13" t="s">
        <v>402</v>
      </c>
      <c r="M607" s="15">
        <f t="shared" si="21"/>
        <v>2.0277777777777728E-2</v>
      </c>
      <c r="N607">
        <f t="shared" si="22"/>
        <v>13</v>
      </c>
    </row>
    <row r="608" spans="1:14" x14ac:dyDescent="0.3">
      <c r="A608" s="1"/>
      <c r="B608" s="1"/>
      <c r="C608" s="1"/>
      <c r="D608" s="1"/>
      <c r="E608" s="1"/>
      <c r="F608" s="1"/>
      <c r="G608" s="9" t="s">
        <v>803</v>
      </c>
      <c r="H608" s="9" t="s">
        <v>119</v>
      </c>
      <c r="I608" s="9" t="s">
        <v>486</v>
      </c>
      <c r="J608" s="9" t="s">
        <v>1912</v>
      </c>
      <c r="K608" s="3" t="s">
        <v>804</v>
      </c>
      <c r="L608" s="13" t="s">
        <v>805</v>
      </c>
      <c r="M608" s="15">
        <f t="shared" si="21"/>
        <v>2.1840277777777861E-2</v>
      </c>
      <c r="N608">
        <f t="shared" si="22"/>
        <v>20</v>
      </c>
    </row>
    <row r="609" spans="1:14" x14ac:dyDescent="0.3">
      <c r="A609" s="1"/>
      <c r="B609" s="1"/>
      <c r="C609" s="1"/>
      <c r="D609" s="1"/>
      <c r="E609" s="1"/>
      <c r="F609" s="1"/>
      <c r="G609" s="9" t="s">
        <v>1191</v>
      </c>
      <c r="H609" s="9" t="s">
        <v>119</v>
      </c>
      <c r="I609" s="9" t="s">
        <v>926</v>
      </c>
      <c r="J609" s="9" t="s">
        <v>1912</v>
      </c>
      <c r="K609" s="3" t="s">
        <v>1192</v>
      </c>
      <c r="L609" s="13" t="s">
        <v>1193</v>
      </c>
      <c r="M609" s="15">
        <f t="shared" si="21"/>
        <v>1.7615740740740793E-2</v>
      </c>
      <c r="N609">
        <f t="shared" si="22"/>
        <v>11</v>
      </c>
    </row>
    <row r="610" spans="1:14" x14ac:dyDescent="0.3">
      <c r="A610" s="1"/>
      <c r="B610" s="1"/>
      <c r="C610" s="1"/>
      <c r="D610" s="1"/>
      <c r="E610" s="1"/>
      <c r="F610" s="1"/>
      <c r="G610" s="9" t="s">
        <v>2232</v>
      </c>
      <c r="H610" s="9" t="s">
        <v>119</v>
      </c>
      <c r="I610" s="9" t="s">
        <v>1945</v>
      </c>
      <c r="J610" s="9" t="s">
        <v>1912</v>
      </c>
      <c r="K610" s="3" t="s">
        <v>2233</v>
      </c>
      <c r="L610" s="13" t="s">
        <v>2234</v>
      </c>
      <c r="M610" s="15">
        <f t="shared" si="21"/>
        <v>2.634259259259264E-2</v>
      </c>
      <c r="N610">
        <f t="shared" si="22"/>
        <v>12</v>
      </c>
    </row>
    <row r="611" spans="1:14" x14ac:dyDescent="0.3">
      <c r="A611" s="1"/>
      <c r="B611" s="1"/>
      <c r="C611" s="9" t="s">
        <v>403</v>
      </c>
      <c r="D611" s="9" t="s">
        <v>404</v>
      </c>
      <c r="E611" s="9" t="s">
        <v>404</v>
      </c>
      <c r="F611" s="9" t="s">
        <v>22</v>
      </c>
      <c r="G611" s="11" t="s">
        <v>19</v>
      </c>
      <c r="H611" s="2"/>
      <c r="I611" s="2"/>
      <c r="J611" s="7"/>
      <c r="K611" s="4"/>
      <c r="L611" s="12"/>
    </row>
    <row r="612" spans="1:14" x14ac:dyDescent="0.3">
      <c r="A612" s="1"/>
      <c r="B612" s="1"/>
      <c r="C612" s="1"/>
      <c r="D612" s="1"/>
      <c r="E612" s="1"/>
      <c r="F612" s="1"/>
      <c r="G612" s="9" t="s">
        <v>405</v>
      </c>
      <c r="H612" s="9" t="s">
        <v>119</v>
      </c>
      <c r="I612" s="9" t="s">
        <v>25</v>
      </c>
      <c r="J612" s="9" t="s">
        <v>1912</v>
      </c>
      <c r="K612" s="3" t="s">
        <v>406</v>
      </c>
      <c r="L612" s="13" t="s">
        <v>407</v>
      </c>
      <c r="M612" s="15">
        <f t="shared" si="21"/>
        <v>2.2395833333333309E-2</v>
      </c>
      <c r="N612">
        <f t="shared" si="22"/>
        <v>5</v>
      </c>
    </row>
    <row r="613" spans="1:14" x14ac:dyDescent="0.3">
      <c r="A613" s="1"/>
      <c r="B613" s="1"/>
      <c r="C613" s="1"/>
      <c r="D613" s="1"/>
      <c r="E613" s="1"/>
      <c r="F613" s="1"/>
      <c r="G613" s="9" t="s">
        <v>806</v>
      </c>
      <c r="H613" s="9" t="s">
        <v>119</v>
      </c>
      <c r="I613" s="9" t="s">
        <v>486</v>
      </c>
      <c r="J613" s="9" t="s">
        <v>1912</v>
      </c>
      <c r="K613" s="3" t="s">
        <v>807</v>
      </c>
      <c r="L613" s="13" t="s">
        <v>808</v>
      </c>
      <c r="M613" s="15">
        <f t="shared" si="21"/>
        <v>4.8055555555555463E-2</v>
      </c>
      <c r="N613">
        <f t="shared" si="22"/>
        <v>10</v>
      </c>
    </row>
    <row r="614" spans="1:14" x14ac:dyDescent="0.3">
      <c r="A614" s="1"/>
      <c r="B614" s="1"/>
      <c r="C614" s="1"/>
      <c r="D614" s="1"/>
      <c r="E614" s="1"/>
      <c r="F614" s="1"/>
      <c r="G614" s="9" t="s">
        <v>1194</v>
      </c>
      <c r="H614" s="9" t="s">
        <v>119</v>
      </c>
      <c r="I614" s="9" t="s">
        <v>926</v>
      </c>
      <c r="J614" s="9" t="s">
        <v>1912</v>
      </c>
      <c r="K614" s="3" t="s">
        <v>1195</v>
      </c>
      <c r="L614" s="13" t="s">
        <v>1196</v>
      </c>
      <c r="M614" s="15">
        <f t="shared" si="21"/>
        <v>1.6099537037037093E-2</v>
      </c>
      <c r="N614">
        <f t="shared" si="22"/>
        <v>11</v>
      </c>
    </row>
    <row r="615" spans="1:14" x14ac:dyDescent="0.3">
      <c r="A615" s="1"/>
      <c r="B615" s="1"/>
      <c r="C615" s="1"/>
      <c r="D615" s="1"/>
      <c r="E615" s="1"/>
      <c r="F615" s="1"/>
      <c r="G615" s="9" t="s">
        <v>1646</v>
      </c>
      <c r="H615" s="9" t="s">
        <v>119</v>
      </c>
      <c r="I615" s="9" t="s">
        <v>1296</v>
      </c>
      <c r="J615" s="9" t="s">
        <v>1912</v>
      </c>
      <c r="K615" s="3" t="s">
        <v>1647</v>
      </c>
      <c r="L615" s="13" t="s">
        <v>1648</v>
      </c>
      <c r="M615" s="15">
        <f t="shared" si="21"/>
        <v>3.689814814814818E-2</v>
      </c>
      <c r="N615">
        <f t="shared" si="22"/>
        <v>10</v>
      </c>
    </row>
    <row r="616" spans="1:14" x14ac:dyDescent="0.3">
      <c r="A616" s="1"/>
      <c r="B616" s="1"/>
      <c r="C616" s="9" t="s">
        <v>627</v>
      </c>
      <c r="D616" s="9" t="s">
        <v>628</v>
      </c>
      <c r="E616" s="9" t="s">
        <v>628</v>
      </c>
      <c r="F616" s="9" t="s">
        <v>22</v>
      </c>
      <c r="G616" s="9" t="s">
        <v>1197</v>
      </c>
      <c r="H616" s="9" t="s">
        <v>119</v>
      </c>
      <c r="I616" s="9" t="s">
        <v>926</v>
      </c>
      <c r="J616" s="9" t="s">
        <v>1912</v>
      </c>
      <c r="K616" s="3" t="s">
        <v>1198</v>
      </c>
      <c r="L616" s="13" t="s">
        <v>1199</v>
      </c>
      <c r="M616" s="15">
        <f t="shared" si="21"/>
        <v>2.358796296296306E-2</v>
      </c>
      <c r="N616">
        <f t="shared" si="22"/>
        <v>17</v>
      </c>
    </row>
    <row r="617" spans="1:14" x14ac:dyDescent="0.3">
      <c r="A617" s="1"/>
      <c r="B617" s="1"/>
      <c r="C617" s="9" t="s">
        <v>204</v>
      </c>
      <c r="D617" s="9" t="s">
        <v>205</v>
      </c>
      <c r="E617" s="9" t="s">
        <v>205</v>
      </c>
      <c r="F617" s="9" t="s">
        <v>22</v>
      </c>
      <c r="G617" s="11" t="s">
        <v>19</v>
      </c>
      <c r="H617" s="2"/>
      <c r="I617" s="2"/>
      <c r="J617" s="7"/>
      <c r="K617" s="4"/>
      <c r="L617" s="12"/>
    </row>
    <row r="618" spans="1:14" x14ac:dyDescent="0.3">
      <c r="A618" s="1"/>
      <c r="B618" s="1"/>
      <c r="C618" s="1"/>
      <c r="D618" s="1"/>
      <c r="E618" s="1"/>
      <c r="F618" s="1"/>
      <c r="G618" s="9" t="s">
        <v>408</v>
      </c>
      <c r="H618" s="9" t="s">
        <v>119</v>
      </c>
      <c r="I618" s="9" t="s">
        <v>25</v>
      </c>
      <c r="J618" s="9" t="s">
        <v>1912</v>
      </c>
      <c r="K618" s="3" t="s">
        <v>409</v>
      </c>
      <c r="L618" s="13" t="s">
        <v>410</v>
      </c>
      <c r="M618" s="15">
        <f t="shared" si="21"/>
        <v>2.1493055555555571E-2</v>
      </c>
      <c r="N618">
        <f t="shared" si="22"/>
        <v>2</v>
      </c>
    </row>
    <row r="619" spans="1:14" x14ac:dyDescent="0.3">
      <c r="A619" s="1"/>
      <c r="B619" s="1"/>
      <c r="C619" s="1"/>
      <c r="D619" s="1"/>
      <c r="E619" s="1"/>
      <c r="F619" s="1"/>
      <c r="G619" s="9" t="s">
        <v>411</v>
      </c>
      <c r="H619" s="9" t="s">
        <v>119</v>
      </c>
      <c r="I619" s="9" t="s">
        <v>25</v>
      </c>
      <c r="J619" s="9" t="s">
        <v>1912</v>
      </c>
      <c r="K619" s="3" t="s">
        <v>412</v>
      </c>
      <c r="L619" s="13" t="s">
        <v>413</v>
      </c>
      <c r="M619" s="15">
        <f t="shared" si="21"/>
        <v>1.3495370370370352E-2</v>
      </c>
      <c r="N619">
        <f t="shared" si="22"/>
        <v>6</v>
      </c>
    </row>
    <row r="620" spans="1:14" x14ac:dyDescent="0.3">
      <c r="A620" s="1"/>
      <c r="B620" s="1"/>
      <c r="C620" s="1"/>
      <c r="D620" s="1"/>
      <c r="E620" s="1"/>
      <c r="F620" s="1"/>
      <c r="G620" s="9" t="s">
        <v>809</v>
      </c>
      <c r="H620" s="9" t="s">
        <v>119</v>
      </c>
      <c r="I620" s="9" t="s">
        <v>486</v>
      </c>
      <c r="J620" s="9" t="s">
        <v>1912</v>
      </c>
      <c r="K620" s="3" t="s">
        <v>810</v>
      </c>
      <c r="L620" s="13" t="s">
        <v>811</v>
      </c>
      <c r="M620" s="15">
        <f t="shared" si="21"/>
        <v>1.7627314814814804E-2</v>
      </c>
      <c r="N620">
        <f t="shared" si="22"/>
        <v>3</v>
      </c>
    </row>
    <row r="621" spans="1:14" x14ac:dyDescent="0.3">
      <c r="A621" s="1"/>
      <c r="B621" s="1"/>
      <c r="C621" s="1"/>
      <c r="D621" s="1"/>
      <c r="E621" s="1"/>
      <c r="F621" s="1"/>
      <c r="G621" s="9" t="s">
        <v>812</v>
      </c>
      <c r="H621" s="9" t="s">
        <v>119</v>
      </c>
      <c r="I621" s="9" t="s">
        <v>486</v>
      </c>
      <c r="J621" s="9" t="s">
        <v>1912</v>
      </c>
      <c r="K621" s="3" t="s">
        <v>813</v>
      </c>
      <c r="L621" s="13" t="s">
        <v>814</v>
      </c>
      <c r="M621" s="15">
        <f t="shared" si="21"/>
        <v>2.6921296296296304E-2</v>
      </c>
      <c r="N621">
        <f t="shared" si="22"/>
        <v>8</v>
      </c>
    </row>
    <row r="622" spans="1:14" x14ac:dyDescent="0.3">
      <c r="A622" s="1"/>
      <c r="B622" s="1"/>
      <c r="C622" s="1"/>
      <c r="D622" s="1"/>
      <c r="E622" s="1"/>
      <c r="F622" s="1"/>
      <c r="G622" s="9" t="s">
        <v>1200</v>
      </c>
      <c r="H622" s="9" t="s">
        <v>119</v>
      </c>
      <c r="I622" s="9" t="s">
        <v>926</v>
      </c>
      <c r="J622" s="9" t="s">
        <v>1912</v>
      </c>
      <c r="K622" s="3" t="s">
        <v>1201</v>
      </c>
      <c r="L622" s="13" t="s">
        <v>1202</v>
      </c>
      <c r="M622" s="15">
        <f t="shared" si="21"/>
        <v>1.9247685185185187E-2</v>
      </c>
      <c r="N622">
        <f t="shared" si="22"/>
        <v>2</v>
      </c>
    </row>
    <row r="623" spans="1:14" x14ac:dyDescent="0.3">
      <c r="A623" s="1"/>
      <c r="B623" s="1"/>
      <c r="C623" s="1"/>
      <c r="D623" s="1"/>
      <c r="E623" s="1"/>
      <c r="F623" s="1"/>
      <c r="G623" s="9" t="s">
        <v>1203</v>
      </c>
      <c r="H623" s="9" t="s">
        <v>119</v>
      </c>
      <c r="I623" s="9" t="s">
        <v>926</v>
      </c>
      <c r="J623" s="9" t="s">
        <v>1912</v>
      </c>
      <c r="K623" s="3" t="s">
        <v>1204</v>
      </c>
      <c r="L623" s="13" t="s">
        <v>1205</v>
      </c>
      <c r="M623" s="15">
        <f t="shared" si="21"/>
        <v>1.0937500000000017E-2</v>
      </c>
      <c r="N623">
        <f t="shared" si="22"/>
        <v>4</v>
      </c>
    </row>
    <row r="624" spans="1:14" x14ac:dyDescent="0.3">
      <c r="A624" s="1"/>
      <c r="B624" s="1"/>
      <c r="C624" s="1"/>
      <c r="D624" s="1"/>
      <c r="E624" s="1"/>
      <c r="F624" s="1"/>
      <c r="G624" s="9" t="s">
        <v>1206</v>
      </c>
      <c r="H624" s="9" t="s">
        <v>119</v>
      </c>
      <c r="I624" s="9" t="s">
        <v>926</v>
      </c>
      <c r="J624" s="9" t="s">
        <v>1912</v>
      </c>
      <c r="K624" s="3" t="s">
        <v>1207</v>
      </c>
      <c r="L624" s="13" t="s">
        <v>1208</v>
      </c>
      <c r="M624" s="15">
        <f t="shared" si="21"/>
        <v>3.9074074074074094E-2</v>
      </c>
      <c r="N624">
        <f t="shared" si="22"/>
        <v>6</v>
      </c>
    </row>
    <row r="625" spans="1:14" x14ac:dyDescent="0.3">
      <c r="A625" s="1"/>
      <c r="B625" s="1"/>
      <c r="C625" s="1"/>
      <c r="D625" s="1"/>
      <c r="E625" s="1"/>
      <c r="F625" s="1"/>
      <c r="G625" s="9" t="s">
        <v>1649</v>
      </c>
      <c r="H625" s="9" t="s">
        <v>119</v>
      </c>
      <c r="I625" s="9" t="s">
        <v>1296</v>
      </c>
      <c r="J625" s="9" t="s">
        <v>1912</v>
      </c>
      <c r="K625" s="3" t="s">
        <v>1650</v>
      </c>
      <c r="L625" s="13" t="s">
        <v>1651</v>
      </c>
      <c r="M625" s="15">
        <f t="shared" si="21"/>
        <v>1.4988425925925919E-2</v>
      </c>
      <c r="N625">
        <f t="shared" si="22"/>
        <v>3</v>
      </c>
    </row>
    <row r="626" spans="1:14" x14ac:dyDescent="0.3">
      <c r="A626" s="1"/>
      <c r="B626" s="1"/>
      <c r="C626" s="1"/>
      <c r="D626" s="1"/>
      <c r="E626" s="1"/>
      <c r="F626" s="1"/>
      <c r="G626" s="9" t="s">
        <v>1652</v>
      </c>
      <c r="H626" s="9" t="s">
        <v>119</v>
      </c>
      <c r="I626" s="9" t="s">
        <v>1296</v>
      </c>
      <c r="J626" s="9" t="s">
        <v>1912</v>
      </c>
      <c r="K626" s="3" t="s">
        <v>1653</v>
      </c>
      <c r="L626" s="13" t="s">
        <v>1654</v>
      </c>
      <c r="M626" s="15">
        <f t="shared" si="21"/>
        <v>1.8356481481481446E-2</v>
      </c>
      <c r="N626">
        <f t="shared" si="22"/>
        <v>7</v>
      </c>
    </row>
    <row r="627" spans="1:14" x14ac:dyDescent="0.3">
      <c r="A627" s="1"/>
      <c r="B627" s="1"/>
      <c r="C627" s="1"/>
      <c r="D627" s="1"/>
      <c r="E627" s="1"/>
      <c r="F627" s="1"/>
      <c r="G627" s="9" t="s">
        <v>2235</v>
      </c>
      <c r="H627" s="9" t="s">
        <v>119</v>
      </c>
      <c r="I627" s="9" t="s">
        <v>1914</v>
      </c>
      <c r="J627" s="9" t="s">
        <v>1912</v>
      </c>
      <c r="K627" s="3" t="s">
        <v>2236</v>
      </c>
      <c r="L627" s="13" t="s">
        <v>2237</v>
      </c>
      <c r="M627" s="15">
        <f t="shared" si="21"/>
        <v>1.2696759259259269E-2</v>
      </c>
      <c r="N627">
        <f t="shared" si="22"/>
        <v>2</v>
      </c>
    </row>
    <row r="628" spans="1:14" x14ac:dyDescent="0.3">
      <c r="A628" s="1"/>
      <c r="B628" s="1"/>
      <c r="C628" s="1"/>
      <c r="D628" s="1"/>
      <c r="E628" s="1"/>
      <c r="F628" s="1"/>
      <c r="G628" s="9" t="s">
        <v>2238</v>
      </c>
      <c r="H628" s="9" t="s">
        <v>119</v>
      </c>
      <c r="I628" s="9" t="s">
        <v>1945</v>
      </c>
      <c r="J628" s="9" t="s">
        <v>1912</v>
      </c>
      <c r="K628" s="3" t="s">
        <v>2239</v>
      </c>
      <c r="L628" s="13" t="s">
        <v>2240</v>
      </c>
      <c r="M628" s="15">
        <f t="shared" si="21"/>
        <v>1.4456018518518514E-2</v>
      </c>
      <c r="N628">
        <f t="shared" si="22"/>
        <v>1</v>
      </c>
    </row>
    <row r="629" spans="1:14" x14ac:dyDescent="0.3">
      <c r="A629" s="1"/>
      <c r="B629" s="1"/>
      <c r="C629" s="1"/>
      <c r="D629" s="1"/>
      <c r="E629" s="1"/>
      <c r="F629" s="1"/>
      <c r="G629" s="9" t="s">
        <v>2241</v>
      </c>
      <c r="H629" s="9" t="s">
        <v>119</v>
      </c>
      <c r="I629" s="9" t="s">
        <v>1945</v>
      </c>
      <c r="J629" s="9" t="s">
        <v>1912</v>
      </c>
      <c r="K629" s="3" t="s">
        <v>2242</v>
      </c>
      <c r="L629" s="13" t="s">
        <v>2243</v>
      </c>
      <c r="M629" s="15">
        <f t="shared" si="21"/>
        <v>2.2766203703703691E-2</v>
      </c>
      <c r="N629">
        <f t="shared" si="22"/>
        <v>6</v>
      </c>
    </row>
    <row r="630" spans="1:14" x14ac:dyDescent="0.3">
      <c r="A630" s="1"/>
      <c r="B630" s="1"/>
      <c r="C630" s="9" t="s">
        <v>1209</v>
      </c>
      <c r="D630" s="9" t="s">
        <v>1210</v>
      </c>
      <c r="E630" s="9" t="s">
        <v>1210</v>
      </c>
      <c r="F630" s="9" t="s">
        <v>22</v>
      </c>
      <c r="G630" s="11" t="s">
        <v>19</v>
      </c>
      <c r="H630" s="2"/>
      <c r="I630" s="2"/>
      <c r="J630" s="7"/>
      <c r="K630" s="4"/>
      <c r="L630" s="12"/>
    </row>
    <row r="631" spans="1:14" x14ac:dyDescent="0.3">
      <c r="A631" s="1"/>
      <c r="B631" s="1"/>
      <c r="C631" s="1"/>
      <c r="D631" s="1"/>
      <c r="E631" s="1"/>
      <c r="F631" s="1"/>
      <c r="G631" s="9" t="s">
        <v>1211</v>
      </c>
      <c r="H631" s="9" t="s">
        <v>119</v>
      </c>
      <c r="I631" s="9" t="s">
        <v>926</v>
      </c>
      <c r="J631" s="9" t="s">
        <v>1912</v>
      </c>
      <c r="K631" s="3" t="s">
        <v>1212</v>
      </c>
      <c r="L631" s="13" t="s">
        <v>1213</v>
      </c>
      <c r="M631" s="15">
        <f t="shared" si="21"/>
        <v>2.6435185185185173E-2</v>
      </c>
      <c r="N631">
        <f t="shared" si="22"/>
        <v>8</v>
      </c>
    </row>
    <row r="632" spans="1:14" x14ac:dyDescent="0.3">
      <c r="A632" s="1"/>
      <c r="B632" s="1"/>
      <c r="C632" s="1"/>
      <c r="D632" s="1"/>
      <c r="E632" s="1"/>
      <c r="F632" s="1"/>
      <c r="G632" s="9" t="s">
        <v>1655</v>
      </c>
      <c r="H632" s="9" t="s">
        <v>119</v>
      </c>
      <c r="I632" s="9" t="s">
        <v>1296</v>
      </c>
      <c r="J632" s="9" t="s">
        <v>1912</v>
      </c>
      <c r="K632" s="3" t="s">
        <v>1656</v>
      </c>
      <c r="L632" s="13" t="s">
        <v>1657</v>
      </c>
      <c r="M632" s="15">
        <f t="shared" si="21"/>
        <v>3.3842592592592646E-2</v>
      </c>
      <c r="N632">
        <f t="shared" si="22"/>
        <v>9</v>
      </c>
    </row>
    <row r="633" spans="1:14" x14ac:dyDescent="0.3">
      <c r="A633" s="1"/>
      <c r="B633" s="1"/>
      <c r="C633" s="1"/>
      <c r="D633" s="1"/>
      <c r="E633" s="1"/>
      <c r="F633" s="1"/>
      <c r="G633" s="9" t="s">
        <v>1658</v>
      </c>
      <c r="H633" s="9" t="s">
        <v>119</v>
      </c>
      <c r="I633" s="9" t="s">
        <v>1296</v>
      </c>
      <c r="J633" s="9" t="s">
        <v>1912</v>
      </c>
      <c r="K633" s="3" t="s">
        <v>1659</v>
      </c>
      <c r="L633" s="13" t="s">
        <v>1660</v>
      </c>
      <c r="M633" s="15">
        <f t="shared" si="21"/>
        <v>3.3657407407407414E-2</v>
      </c>
      <c r="N633">
        <f t="shared" si="22"/>
        <v>9</v>
      </c>
    </row>
    <row r="634" spans="1:14" x14ac:dyDescent="0.3">
      <c r="A634" s="9" t="s">
        <v>414</v>
      </c>
      <c r="B634" s="9" t="s">
        <v>415</v>
      </c>
      <c r="C634" s="11" t="s">
        <v>19</v>
      </c>
      <c r="D634" s="2"/>
      <c r="E634" s="2"/>
      <c r="F634" s="2"/>
      <c r="G634" s="2"/>
      <c r="H634" s="2"/>
      <c r="I634" s="2"/>
      <c r="J634" s="7"/>
      <c r="K634" s="4"/>
      <c r="L634" s="12"/>
    </row>
    <row r="635" spans="1:14" x14ac:dyDescent="0.3">
      <c r="A635" s="1"/>
      <c r="B635" s="1"/>
      <c r="C635" s="9" t="s">
        <v>416</v>
      </c>
      <c r="D635" s="9" t="s">
        <v>417</v>
      </c>
      <c r="E635" s="9" t="s">
        <v>417</v>
      </c>
      <c r="F635" s="9" t="s">
        <v>418</v>
      </c>
      <c r="G635" s="11" t="s">
        <v>19</v>
      </c>
      <c r="H635" s="2"/>
      <c r="I635" s="2"/>
      <c r="J635" s="7"/>
      <c r="K635" s="4"/>
      <c r="L635" s="12"/>
    </row>
    <row r="636" spans="1:14" x14ac:dyDescent="0.3">
      <c r="A636" s="1"/>
      <c r="B636" s="1"/>
      <c r="C636" s="1"/>
      <c r="D636" s="1"/>
      <c r="E636" s="1"/>
      <c r="F636" s="1"/>
      <c r="G636" s="9" t="s">
        <v>419</v>
      </c>
      <c r="H636" s="9" t="s">
        <v>119</v>
      </c>
      <c r="I636" s="9" t="s">
        <v>25</v>
      </c>
      <c r="J636" s="9" t="s">
        <v>1912</v>
      </c>
      <c r="K636" s="3" t="s">
        <v>420</v>
      </c>
      <c r="L636" s="13" t="s">
        <v>421</v>
      </c>
      <c r="M636" s="15">
        <f t="shared" si="21"/>
        <v>2.4930555555555567E-2</v>
      </c>
      <c r="N636">
        <f t="shared" si="22"/>
        <v>17</v>
      </c>
    </row>
    <row r="637" spans="1:14" x14ac:dyDescent="0.3">
      <c r="A637" s="1"/>
      <c r="B637" s="1"/>
      <c r="C637" s="1"/>
      <c r="D637" s="1"/>
      <c r="E637" s="1"/>
      <c r="F637" s="1"/>
      <c r="G637" s="9" t="s">
        <v>2244</v>
      </c>
      <c r="H637" s="9" t="s">
        <v>119</v>
      </c>
      <c r="I637" s="9" t="s">
        <v>1945</v>
      </c>
      <c r="J637" s="9" t="s">
        <v>1912</v>
      </c>
      <c r="K637" s="3" t="s">
        <v>2245</v>
      </c>
      <c r="L637" s="13" t="s">
        <v>2246</v>
      </c>
      <c r="M637" s="15">
        <f t="shared" si="21"/>
        <v>1.8738425925925895E-2</v>
      </c>
      <c r="N637">
        <f t="shared" si="22"/>
        <v>12</v>
      </c>
    </row>
    <row r="638" spans="1:14" x14ac:dyDescent="0.3">
      <c r="A638" s="1"/>
      <c r="B638" s="1"/>
      <c r="C638" s="9" t="s">
        <v>422</v>
      </c>
      <c r="D638" s="9" t="s">
        <v>423</v>
      </c>
      <c r="E638" s="9" t="s">
        <v>423</v>
      </c>
      <c r="F638" s="9" t="s">
        <v>418</v>
      </c>
      <c r="G638" s="11" t="s">
        <v>19</v>
      </c>
      <c r="H638" s="2"/>
      <c r="I638" s="2"/>
      <c r="J638" s="7"/>
      <c r="K638" s="4"/>
      <c r="L638" s="12"/>
    </row>
    <row r="639" spans="1:14" x14ac:dyDescent="0.3">
      <c r="A639" s="1"/>
      <c r="B639" s="1"/>
      <c r="C639" s="1"/>
      <c r="D639" s="1"/>
      <c r="E639" s="1"/>
      <c r="F639" s="1"/>
      <c r="G639" s="9" t="s">
        <v>424</v>
      </c>
      <c r="H639" s="9" t="s">
        <v>119</v>
      </c>
      <c r="I639" s="9" t="s">
        <v>25</v>
      </c>
      <c r="J639" s="9" t="s">
        <v>1912</v>
      </c>
      <c r="K639" s="3" t="s">
        <v>425</v>
      </c>
      <c r="L639" s="13" t="s">
        <v>426</v>
      </c>
      <c r="M639" s="15">
        <f t="shared" si="21"/>
        <v>2.1736111111111067E-2</v>
      </c>
      <c r="N639">
        <f t="shared" si="22"/>
        <v>13</v>
      </c>
    </row>
    <row r="640" spans="1:14" x14ac:dyDescent="0.3">
      <c r="A640" s="1"/>
      <c r="B640" s="1"/>
      <c r="C640" s="1"/>
      <c r="D640" s="1"/>
      <c r="E640" s="1"/>
      <c r="F640" s="1"/>
      <c r="G640" s="9" t="s">
        <v>1244</v>
      </c>
      <c r="H640" s="9" t="s">
        <v>119</v>
      </c>
      <c r="I640" s="9" t="s">
        <v>926</v>
      </c>
      <c r="J640" s="9" t="s">
        <v>1912</v>
      </c>
      <c r="K640" s="3" t="s">
        <v>1245</v>
      </c>
      <c r="L640" s="13" t="s">
        <v>1246</v>
      </c>
      <c r="M640" s="15">
        <f t="shared" si="21"/>
        <v>1.9456018518518525E-2</v>
      </c>
      <c r="N640">
        <f t="shared" si="22"/>
        <v>7</v>
      </c>
    </row>
    <row r="641" spans="1:14" x14ac:dyDescent="0.3">
      <c r="A641" s="1"/>
      <c r="B641" s="1"/>
      <c r="C641" s="9" t="s">
        <v>846</v>
      </c>
      <c r="D641" s="9" t="s">
        <v>847</v>
      </c>
      <c r="E641" s="9" t="s">
        <v>847</v>
      </c>
      <c r="F641" s="9" t="s">
        <v>418</v>
      </c>
      <c r="G641" s="11" t="s">
        <v>19</v>
      </c>
      <c r="H641" s="2"/>
      <c r="I641" s="2"/>
      <c r="J641" s="7"/>
      <c r="K641" s="4"/>
      <c r="L641" s="12"/>
    </row>
    <row r="642" spans="1:14" x14ac:dyDescent="0.3">
      <c r="A642" s="1"/>
      <c r="B642" s="1"/>
      <c r="C642" s="1"/>
      <c r="D642" s="1"/>
      <c r="E642" s="1"/>
      <c r="F642" s="1"/>
      <c r="G642" s="9" t="s">
        <v>848</v>
      </c>
      <c r="H642" s="9" t="s">
        <v>119</v>
      </c>
      <c r="I642" s="9" t="s">
        <v>486</v>
      </c>
      <c r="J642" s="9" t="s">
        <v>1912</v>
      </c>
      <c r="K642" s="3" t="s">
        <v>849</v>
      </c>
      <c r="L642" s="13" t="s">
        <v>850</v>
      </c>
      <c r="M642" s="15">
        <f t="shared" si="21"/>
        <v>3.5092592592592564E-2</v>
      </c>
      <c r="N642">
        <f t="shared" si="22"/>
        <v>14</v>
      </c>
    </row>
    <row r="643" spans="1:14" x14ac:dyDescent="0.3">
      <c r="A643" s="1"/>
      <c r="B643" s="1"/>
      <c r="C643" s="1"/>
      <c r="D643" s="1"/>
      <c r="E643" s="1"/>
      <c r="F643" s="1"/>
      <c r="G643" s="9" t="s">
        <v>1247</v>
      </c>
      <c r="H643" s="9" t="s">
        <v>119</v>
      </c>
      <c r="I643" s="9" t="s">
        <v>926</v>
      </c>
      <c r="J643" s="9" t="s">
        <v>1912</v>
      </c>
      <c r="K643" s="3" t="s">
        <v>1248</v>
      </c>
      <c r="L643" s="13" t="s">
        <v>1249</v>
      </c>
      <c r="M643" s="15">
        <f t="shared" ref="M643:M706" si="23">L643-K643</f>
        <v>2.8194444444444411E-2</v>
      </c>
      <c r="N643">
        <f t="shared" ref="N643:N706" si="24">HOUR(K643)</f>
        <v>10</v>
      </c>
    </row>
    <row r="644" spans="1:14" x14ac:dyDescent="0.3">
      <c r="A644" s="1"/>
      <c r="B644" s="1"/>
      <c r="C644" s="1"/>
      <c r="D644" s="1"/>
      <c r="E644" s="1"/>
      <c r="F644" s="1"/>
      <c r="G644" s="9" t="s">
        <v>1661</v>
      </c>
      <c r="H644" s="9" t="s">
        <v>119</v>
      </c>
      <c r="I644" s="9" t="s">
        <v>1296</v>
      </c>
      <c r="J644" s="9" t="s">
        <v>1912</v>
      </c>
      <c r="K644" s="3" t="s">
        <v>1662</v>
      </c>
      <c r="L644" s="13" t="s">
        <v>1663</v>
      </c>
      <c r="M644" s="15">
        <f t="shared" si="23"/>
        <v>1.7673611111111209E-2</v>
      </c>
      <c r="N644">
        <f t="shared" si="24"/>
        <v>19</v>
      </c>
    </row>
    <row r="645" spans="1:14" x14ac:dyDescent="0.3">
      <c r="A645" s="1"/>
      <c r="B645" s="1"/>
      <c r="C645" s="9" t="s">
        <v>1888</v>
      </c>
      <c r="D645" s="9" t="s">
        <v>1889</v>
      </c>
      <c r="E645" s="9" t="s">
        <v>1889</v>
      </c>
      <c r="F645" s="9" t="s">
        <v>418</v>
      </c>
      <c r="G645" s="9" t="s">
        <v>2247</v>
      </c>
      <c r="H645" s="9" t="s">
        <v>119</v>
      </c>
      <c r="I645" s="9" t="s">
        <v>1914</v>
      </c>
      <c r="J645" s="9" t="s">
        <v>1912</v>
      </c>
      <c r="K645" s="3" t="s">
        <v>2248</v>
      </c>
      <c r="L645" s="13" t="s">
        <v>2249</v>
      </c>
      <c r="M645" s="15">
        <f t="shared" si="23"/>
        <v>1.9953703703703751E-2</v>
      </c>
      <c r="N645">
        <f t="shared" si="24"/>
        <v>16</v>
      </c>
    </row>
    <row r="646" spans="1:14" x14ac:dyDescent="0.3">
      <c r="A646" s="9" t="s">
        <v>427</v>
      </c>
      <c r="B646" s="9" t="s">
        <v>428</v>
      </c>
      <c r="C646" s="11" t="s">
        <v>19</v>
      </c>
      <c r="D646" s="2"/>
      <c r="E646" s="2"/>
      <c r="F646" s="2"/>
      <c r="G646" s="2"/>
      <c r="H646" s="2"/>
      <c r="I646" s="2"/>
      <c r="J646" s="7"/>
      <c r="K646" s="4"/>
      <c r="L646" s="12"/>
    </row>
    <row r="647" spans="1:14" x14ac:dyDescent="0.3">
      <c r="A647" s="1"/>
      <c r="B647" s="1"/>
      <c r="C647" s="9" t="s">
        <v>466</v>
      </c>
      <c r="D647" s="9" t="s">
        <v>467</v>
      </c>
      <c r="E647" s="9" t="s">
        <v>468</v>
      </c>
      <c r="F647" s="9" t="s">
        <v>22</v>
      </c>
      <c r="G647" s="11" t="s">
        <v>19</v>
      </c>
      <c r="H647" s="2"/>
      <c r="I647" s="2"/>
      <c r="J647" s="7"/>
      <c r="K647" s="4"/>
      <c r="L647" s="12"/>
    </row>
    <row r="648" spans="1:14" x14ac:dyDescent="0.3">
      <c r="A648" s="1"/>
      <c r="B648" s="1"/>
      <c r="C648" s="1"/>
      <c r="D648" s="1"/>
      <c r="E648" s="1"/>
      <c r="F648" s="1"/>
      <c r="G648" s="9" t="s">
        <v>851</v>
      </c>
      <c r="H648" s="9" t="s">
        <v>119</v>
      </c>
      <c r="I648" s="9" t="s">
        <v>486</v>
      </c>
      <c r="J648" s="9" t="s">
        <v>1912</v>
      </c>
      <c r="K648" s="3" t="s">
        <v>852</v>
      </c>
      <c r="L648" s="13" t="s">
        <v>853</v>
      </c>
      <c r="M648" s="15">
        <f t="shared" si="23"/>
        <v>2.604166666666663E-2</v>
      </c>
      <c r="N648">
        <f t="shared" si="24"/>
        <v>8</v>
      </c>
    </row>
    <row r="649" spans="1:14" x14ac:dyDescent="0.3">
      <c r="A649" s="1"/>
      <c r="B649" s="1"/>
      <c r="C649" s="1"/>
      <c r="D649" s="1"/>
      <c r="E649" s="1"/>
      <c r="F649" s="1"/>
      <c r="G649" s="9" t="s">
        <v>854</v>
      </c>
      <c r="H649" s="9" t="s">
        <v>119</v>
      </c>
      <c r="I649" s="9" t="s">
        <v>486</v>
      </c>
      <c r="J649" s="9" t="s">
        <v>1912</v>
      </c>
      <c r="K649" s="3" t="s">
        <v>855</v>
      </c>
      <c r="L649" s="13" t="s">
        <v>856</v>
      </c>
      <c r="M649" s="15">
        <f t="shared" si="23"/>
        <v>5.4224537037037002E-2</v>
      </c>
      <c r="N649">
        <f t="shared" si="24"/>
        <v>11</v>
      </c>
    </row>
    <row r="650" spans="1:14" x14ac:dyDescent="0.3">
      <c r="A650" s="1"/>
      <c r="B650" s="1"/>
      <c r="C650" s="9" t="s">
        <v>857</v>
      </c>
      <c r="D650" s="9" t="s">
        <v>858</v>
      </c>
      <c r="E650" s="9" t="s">
        <v>859</v>
      </c>
      <c r="F650" s="9" t="s">
        <v>22</v>
      </c>
      <c r="G650" s="11" t="s">
        <v>19</v>
      </c>
      <c r="H650" s="2"/>
      <c r="I650" s="2"/>
      <c r="J650" s="7"/>
      <c r="K650" s="4"/>
      <c r="L650" s="12"/>
    </row>
    <row r="651" spans="1:14" x14ac:dyDescent="0.3">
      <c r="A651" s="1"/>
      <c r="B651" s="1"/>
      <c r="C651" s="1"/>
      <c r="D651" s="1"/>
      <c r="E651" s="1"/>
      <c r="F651" s="1"/>
      <c r="G651" s="9" t="s">
        <v>860</v>
      </c>
      <c r="H651" s="9" t="s">
        <v>119</v>
      </c>
      <c r="I651" s="9" t="s">
        <v>486</v>
      </c>
      <c r="J651" s="9" t="s">
        <v>1912</v>
      </c>
      <c r="K651" s="3" t="s">
        <v>861</v>
      </c>
      <c r="L651" s="13" t="s">
        <v>862</v>
      </c>
      <c r="M651" s="15">
        <f t="shared" si="23"/>
        <v>3.7291666666666612E-2</v>
      </c>
      <c r="N651">
        <f t="shared" si="24"/>
        <v>12</v>
      </c>
    </row>
    <row r="652" spans="1:14" x14ac:dyDescent="0.3">
      <c r="A652" s="1"/>
      <c r="B652" s="1"/>
      <c r="C652" s="1"/>
      <c r="D652" s="1"/>
      <c r="E652" s="1"/>
      <c r="F652" s="1"/>
      <c r="G652" s="9" t="s">
        <v>1250</v>
      </c>
      <c r="H652" s="9" t="s">
        <v>119</v>
      </c>
      <c r="I652" s="9" t="s">
        <v>926</v>
      </c>
      <c r="J652" s="9" t="s">
        <v>1912</v>
      </c>
      <c r="K652" s="3" t="s">
        <v>1251</v>
      </c>
      <c r="L652" s="13" t="s">
        <v>1252</v>
      </c>
      <c r="M652" s="15">
        <f t="shared" si="23"/>
        <v>3.0069444444444482E-2</v>
      </c>
      <c r="N652">
        <f t="shared" si="24"/>
        <v>15</v>
      </c>
    </row>
    <row r="653" spans="1:14" x14ac:dyDescent="0.3">
      <c r="A653" s="1"/>
      <c r="B653" s="1"/>
      <c r="C653" s="1"/>
      <c r="D653" s="1"/>
      <c r="E653" s="1"/>
      <c r="F653" s="1"/>
      <c r="G653" s="9" t="s">
        <v>2250</v>
      </c>
      <c r="H653" s="9" t="s">
        <v>119</v>
      </c>
      <c r="I653" s="9" t="s">
        <v>1945</v>
      </c>
      <c r="J653" s="9" t="s">
        <v>1912</v>
      </c>
      <c r="K653" s="3" t="s">
        <v>2251</v>
      </c>
      <c r="L653" s="13" t="s">
        <v>2252</v>
      </c>
      <c r="M653" s="15">
        <f t="shared" si="23"/>
        <v>3.1006944444444517E-2</v>
      </c>
      <c r="N653">
        <f t="shared" si="24"/>
        <v>18</v>
      </c>
    </row>
    <row r="654" spans="1:14" x14ac:dyDescent="0.3">
      <c r="A654" s="1"/>
      <c r="B654" s="1"/>
      <c r="C654" s="1"/>
      <c r="D654" s="1"/>
      <c r="E654" s="1"/>
      <c r="F654" s="1"/>
      <c r="G654" s="9" t="s">
        <v>2253</v>
      </c>
      <c r="H654" s="9" t="s">
        <v>119</v>
      </c>
      <c r="I654" s="9" t="s">
        <v>1914</v>
      </c>
      <c r="J654" s="9" t="s">
        <v>1912</v>
      </c>
      <c r="K654" s="3" t="s">
        <v>2254</v>
      </c>
      <c r="L654" s="13" t="s">
        <v>2255</v>
      </c>
      <c r="M654" s="15">
        <f t="shared" si="23"/>
        <v>1.6041666666666621E-2</v>
      </c>
      <c r="N654">
        <f t="shared" si="24"/>
        <v>12</v>
      </c>
    </row>
    <row r="655" spans="1:14" x14ac:dyDescent="0.3">
      <c r="A655" s="1"/>
      <c r="B655" s="1"/>
      <c r="C655" s="1"/>
      <c r="D655" s="1"/>
      <c r="E655" s="1"/>
      <c r="F655" s="1"/>
      <c r="G655" s="9" t="s">
        <v>2256</v>
      </c>
      <c r="H655" s="9" t="s">
        <v>119</v>
      </c>
      <c r="I655" s="9" t="s">
        <v>1914</v>
      </c>
      <c r="J655" s="9" t="s">
        <v>1912</v>
      </c>
      <c r="K655" s="3" t="s">
        <v>2257</v>
      </c>
      <c r="L655" s="13" t="s">
        <v>2258</v>
      </c>
      <c r="M655" s="15">
        <f t="shared" si="23"/>
        <v>2.3171296296296218E-2</v>
      </c>
      <c r="N655">
        <f t="shared" si="24"/>
        <v>13</v>
      </c>
    </row>
    <row r="656" spans="1:14" x14ac:dyDescent="0.3">
      <c r="A656" s="1"/>
      <c r="B656" s="1"/>
      <c r="C656" s="1"/>
      <c r="D656" s="1"/>
      <c r="E656" s="1"/>
      <c r="F656" s="1"/>
      <c r="G656" s="9" t="s">
        <v>2259</v>
      </c>
      <c r="H656" s="9" t="s">
        <v>119</v>
      </c>
      <c r="I656" s="9" t="s">
        <v>1945</v>
      </c>
      <c r="J656" s="9" t="s">
        <v>1912</v>
      </c>
      <c r="K656" s="3" t="s">
        <v>2260</v>
      </c>
      <c r="L656" s="13" t="s">
        <v>2261</v>
      </c>
      <c r="M656" s="15">
        <f t="shared" si="23"/>
        <v>2.1446759259259318E-2</v>
      </c>
      <c r="N656">
        <f t="shared" si="24"/>
        <v>15</v>
      </c>
    </row>
    <row r="657" spans="1:14" x14ac:dyDescent="0.3">
      <c r="A657" s="1"/>
      <c r="B657" s="1"/>
      <c r="C657" s="9" t="s">
        <v>429</v>
      </c>
      <c r="D657" s="9" t="s">
        <v>430</v>
      </c>
      <c r="E657" s="9" t="s">
        <v>430</v>
      </c>
      <c r="F657" s="9" t="s">
        <v>22</v>
      </c>
      <c r="G657" s="11" t="s">
        <v>19</v>
      </c>
      <c r="H657" s="2"/>
      <c r="I657" s="2"/>
      <c r="J657" s="7"/>
      <c r="K657" s="4"/>
      <c r="L657" s="12"/>
    </row>
    <row r="658" spans="1:14" x14ac:dyDescent="0.3">
      <c r="A658" s="1"/>
      <c r="B658" s="1"/>
      <c r="C658" s="1"/>
      <c r="D658" s="1"/>
      <c r="E658" s="1"/>
      <c r="F658" s="1"/>
      <c r="G658" s="9" t="s">
        <v>431</v>
      </c>
      <c r="H658" s="9" t="s">
        <v>119</v>
      </c>
      <c r="I658" s="9" t="s">
        <v>25</v>
      </c>
      <c r="J658" s="9" t="s">
        <v>1912</v>
      </c>
      <c r="K658" s="3" t="s">
        <v>432</v>
      </c>
      <c r="L658" s="13" t="s">
        <v>433</v>
      </c>
      <c r="M658" s="15">
        <f t="shared" si="23"/>
        <v>1.4259259259259277E-2</v>
      </c>
      <c r="N658">
        <f t="shared" si="24"/>
        <v>5</v>
      </c>
    </row>
    <row r="659" spans="1:14" x14ac:dyDescent="0.3">
      <c r="A659" s="1"/>
      <c r="B659" s="1"/>
      <c r="C659" s="1"/>
      <c r="D659" s="1"/>
      <c r="E659" s="1"/>
      <c r="F659" s="1"/>
      <c r="G659" s="9" t="s">
        <v>434</v>
      </c>
      <c r="H659" s="9" t="s">
        <v>119</v>
      </c>
      <c r="I659" s="9" t="s">
        <v>25</v>
      </c>
      <c r="J659" s="9" t="s">
        <v>1912</v>
      </c>
      <c r="K659" s="3" t="s">
        <v>435</v>
      </c>
      <c r="L659" s="13" t="s">
        <v>436</v>
      </c>
      <c r="M659" s="15">
        <f t="shared" si="23"/>
        <v>3.5659722222222356E-2</v>
      </c>
      <c r="N659">
        <f t="shared" si="24"/>
        <v>14</v>
      </c>
    </row>
    <row r="660" spans="1:14" x14ac:dyDescent="0.3">
      <c r="A660" s="1"/>
      <c r="B660" s="1"/>
      <c r="C660" s="1"/>
      <c r="D660" s="1"/>
      <c r="E660" s="1"/>
      <c r="F660" s="1"/>
      <c r="G660" s="9" t="s">
        <v>863</v>
      </c>
      <c r="H660" s="9" t="s">
        <v>119</v>
      </c>
      <c r="I660" s="9" t="s">
        <v>486</v>
      </c>
      <c r="J660" s="9" t="s">
        <v>1912</v>
      </c>
      <c r="K660" s="3" t="s">
        <v>864</v>
      </c>
      <c r="L660" s="13" t="s">
        <v>865</v>
      </c>
      <c r="M660" s="15">
        <f t="shared" si="23"/>
        <v>1.6412037037037031E-2</v>
      </c>
      <c r="N660">
        <f t="shared" si="24"/>
        <v>7</v>
      </c>
    </row>
    <row r="661" spans="1:14" x14ac:dyDescent="0.3">
      <c r="A661" s="1"/>
      <c r="B661" s="1"/>
      <c r="C661" s="1"/>
      <c r="D661" s="1"/>
      <c r="E661" s="1"/>
      <c r="F661" s="1"/>
      <c r="G661" s="9" t="s">
        <v>866</v>
      </c>
      <c r="H661" s="9" t="s">
        <v>119</v>
      </c>
      <c r="I661" s="9" t="s">
        <v>486</v>
      </c>
      <c r="J661" s="9" t="s">
        <v>1912</v>
      </c>
      <c r="K661" s="3" t="s">
        <v>867</v>
      </c>
      <c r="L661" s="13" t="s">
        <v>868</v>
      </c>
      <c r="M661" s="15">
        <f t="shared" si="23"/>
        <v>2.163194444444444E-2</v>
      </c>
      <c r="N661">
        <f t="shared" si="24"/>
        <v>10</v>
      </c>
    </row>
    <row r="662" spans="1:14" x14ac:dyDescent="0.3">
      <c r="A662" s="1"/>
      <c r="B662" s="1"/>
      <c r="C662" s="1"/>
      <c r="D662" s="1"/>
      <c r="E662" s="1"/>
      <c r="F662" s="1"/>
      <c r="G662" s="9" t="s">
        <v>869</v>
      </c>
      <c r="H662" s="9" t="s">
        <v>119</v>
      </c>
      <c r="I662" s="9" t="s">
        <v>486</v>
      </c>
      <c r="J662" s="9" t="s">
        <v>1912</v>
      </c>
      <c r="K662" s="3" t="s">
        <v>870</v>
      </c>
      <c r="L662" s="13" t="s">
        <v>871</v>
      </c>
      <c r="M662" s="15">
        <f t="shared" si="23"/>
        <v>3.58912037037038E-2</v>
      </c>
      <c r="N662">
        <f t="shared" si="24"/>
        <v>12</v>
      </c>
    </row>
    <row r="663" spans="1:14" x14ac:dyDescent="0.3">
      <c r="A663" s="1"/>
      <c r="B663" s="1"/>
      <c r="C663" s="1"/>
      <c r="D663" s="1"/>
      <c r="E663" s="1"/>
      <c r="F663" s="1"/>
      <c r="G663" s="9" t="s">
        <v>1664</v>
      </c>
      <c r="H663" s="9" t="s">
        <v>119</v>
      </c>
      <c r="I663" s="9" t="s">
        <v>1296</v>
      </c>
      <c r="J663" s="9" t="s">
        <v>1912</v>
      </c>
      <c r="K663" s="3" t="s">
        <v>1665</v>
      </c>
      <c r="L663" s="13" t="s">
        <v>1666</v>
      </c>
      <c r="M663" s="15">
        <f t="shared" si="23"/>
        <v>1.3356481481481497E-2</v>
      </c>
      <c r="N663">
        <f t="shared" si="24"/>
        <v>4</v>
      </c>
    </row>
    <row r="664" spans="1:14" x14ac:dyDescent="0.3">
      <c r="A664" s="1"/>
      <c r="B664" s="1"/>
      <c r="C664" s="9" t="s">
        <v>437</v>
      </c>
      <c r="D664" s="9" t="s">
        <v>438</v>
      </c>
      <c r="E664" s="9" t="s">
        <v>439</v>
      </c>
      <c r="F664" s="9" t="s">
        <v>22</v>
      </c>
      <c r="G664" s="11" t="s">
        <v>19</v>
      </c>
      <c r="H664" s="2"/>
      <c r="I664" s="2"/>
      <c r="J664" s="7"/>
      <c r="K664" s="4"/>
      <c r="L664" s="12"/>
    </row>
    <row r="665" spans="1:14" x14ac:dyDescent="0.3">
      <c r="A665" s="1"/>
      <c r="B665" s="1"/>
      <c r="C665" s="1"/>
      <c r="D665" s="1"/>
      <c r="E665" s="1"/>
      <c r="F665" s="1"/>
      <c r="G665" s="9" t="s">
        <v>440</v>
      </c>
      <c r="H665" s="9" t="s">
        <v>119</v>
      </c>
      <c r="I665" s="9" t="s">
        <v>25</v>
      </c>
      <c r="J665" s="9" t="s">
        <v>1912</v>
      </c>
      <c r="K665" s="3" t="s">
        <v>441</v>
      </c>
      <c r="L665" s="13" t="s">
        <v>442</v>
      </c>
      <c r="M665" s="15">
        <f t="shared" si="23"/>
        <v>1.9259259259259254E-2</v>
      </c>
      <c r="N665">
        <f t="shared" si="24"/>
        <v>6</v>
      </c>
    </row>
    <row r="666" spans="1:14" x14ac:dyDescent="0.3">
      <c r="A666" s="1"/>
      <c r="B666" s="1"/>
      <c r="C666" s="1"/>
      <c r="D666" s="1"/>
      <c r="E666" s="1"/>
      <c r="F666" s="1"/>
      <c r="G666" s="9" t="s">
        <v>443</v>
      </c>
      <c r="H666" s="9" t="s">
        <v>119</v>
      </c>
      <c r="I666" s="9" t="s">
        <v>25</v>
      </c>
      <c r="J666" s="9" t="s">
        <v>1912</v>
      </c>
      <c r="K666" s="3" t="s">
        <v>444</v>
      </c>
      <c r="L666" s="13" t="s">
        <v>445</v>
      </c>
      <c r="M666" s="15">
        <f t="shared" si="23"/>
        <v>1.6238425925925948E-2</v>
      </c>
      <c r="N666">
        <f t="shared" si="24"/>
        <v>7</v>
      </c>
    </row>
    <row r="667" spans="1:14" x14ac:dyDescent="0.3">
      <c r="A667" s="1"/>
      <c r="B667" s="1"/>
      <c r="C667" s="1"/>
      <c r="D667" s="1"/>
      <c r="E667" s="1"/>
      <c r="F667" s="1"/>
      <c r="G667" s="9" t="s">
        <v>872</v>
      </c>
      <c r="H667" s="9" t="s">
        <v>119</v>
      </c>
      <c r="I667" s="9" t="s">
        <v>486</v>
      </c>
      <c r="J667" s="9" t="s">
        <v>1912</v>
      </c>
      <c r="K667" s="3" t="s">
        <v>873</v>
      </c>
      <c r="L667" s="13" t="s">
        <v>874</v>
      </c>
      <c r="M667" s="15">
        <f t="shared" si="23"/>
        <v>1.4884259259259264E-2</v>
      </c>
      <c r="N667">
        <f t="shared" si="24"/>
        <v>5</v>
      </c>
    </row>
    <row r="668" spans="1:14" x14ac:dyDescent="0.3">
      <c r="A668" s="1"/>
      <c r="B668" s="1"/>
      <c r="C668" s="1"/>
      <c r="D668" s="1"/>
      <c r="E668" s="1"/>
      <c r="F668" s="1"/>
      <c r="G668" s="9" t="s">
        <v>875</v>
      </c>
      <c r="H668" s="9" t="s">
        <v>119</v>
      </c>
      <c r="I668" s="9" t="s">
        <v>486</v>
      </c>
      <c r="J668" s="9" t="s">
        <v>1912</v>
      </c>
      <c r="K668" s="3" t="s">
        <v>876</v>
      </c>
      <c r="L668" s="13" t="s">
        <v>877</v>
      </c>
      <c r="M668" s="15">
        <f t="shared" si="23"/>
        <v>2.1400462962962996E-2</v>
      </c>
      <c r="N668">
        <f t="shared" si="24"/>
        <v>7</v>
      </c>
    </row>
    <row r="669" spans="1:14" x14ac:dyDescent="0.3">
      <c r="A669" s="1"/>
      <c r="B669" s="1"/>
      <c r="C669" s="1"/>
      <c r="D669" s="1"/>
      <c r="E669" s="1"/>
      <c r="F669" s="1"/>
      <c r="G669" s="9" t="s">
        <v>1253</v>
      </c>
      <c r="H669" s="9" t="s">
        <v>119</v>
      </c>
      <c r="I669" s="9" t="s">
        <v>926</v>
      </c>
      <c r="J669" s="9" t="s">
        <v>1912</v>
      </c>
      <c r="K669" s="3" t="s">
        <v>1254</v>
      </c>
      <c r="L669" s="13" t="s">
        <v>1255</v>
      </c>
      <c r="M669" s="15">
        <f t="shared" si="23"/>
        <v>1.4791666666666675E-2</v>
      </c>
      <c r="N669">
        <f t="shared" si="24"/>
        <v>5</v>
      </c>
    </row>
    <row r="670" spans="1:14" x14ac:dyDescent="0.3">
      <c r="A670" s="1"/>
      <c r="B670" s="1"/>
      <c r="C670" s="1"/>
      <c r="D670" s="1"/>
      <c r="E670" s="1"/>
      <c r="F670" s="1"/>
      <c r="G670" s="9" t="s">
        <v>1256</v>
      </c>
      <c r="H670" s="9" t="s">
        <v>119</v>
      </c>
      <c r="I670" s="9" t="s">
        <v>926</v>
      </c>
      <c r="J670" s="9" t="s">
        <v>1912</v>
      </c>
      <c r="K670" s="3" t="s">
        <v>1257</v>
      </c>
      <c r="L670" s="13" t="s">
        <v>1258</v>
      </c>
      <c r="M670" s="15">
        <f t="shared" si="23"/>
        <v>2.7997685185185195E-2</v>
      </c>
      <c r="N670">
        <f t="shared" si="24"/>
        <v>6</v>
      </c>
    </row>
    <row r="671" spans="1:14" x14ac:dyDescent="0.3">
      <c r="A671" s="1"/>
      <c r="B671" s="1"/>
      <c r="C671" s="9" t="s">
        <v>446</v>
      </c>
      <c r="D671" s="9" t="s">
        <v>447</v>
      </c>
      <c r="E671" s="9" t="s">
        <v>448</v>
      </c>
      <c r="F671" s="9" t="s">
        <v>22</v>
      </c>
      <c r="G671" s="11" t="s">
        <v>19</v>
      </c>
      <c r="H671" s="2"/>
      <c r="I671" s="2"/>
      <c r="J671" s="7"/>
      <c r="K671" s="4"/>
      <c r="L671" s="12"/>
    </row>
    <row r="672" spans="1:14" x14ac:dyDescent="0.3">
      <c r="A672" s="1"/>
      <c r="B672" s="1"/>
      <c r="C672" s="1"/>
      <c r="D672" s="1"/>
      <c r="E672" s="1"/>
      <c r="F672" s="1"/>
      <c r="G672" s="9" t="s">
        <v>449</v>
      </c>
      <c r="H672" s="9" t="s">
        <v>119</v>
      </c>
      <c r="I672" s="9" t="s">
        <v>25</v>
      </c>
      <c r="J672" s="9" t="s">
        <v>1912</v>
      </c>
      <c r="K672" s="3" t="s">
        <v>450</v>
      </c>
      <c r="L672" s="13" t="s">
        <v>451</v>
      </c>
      <c r="M672" s="15">
        <f t="shared" si="23"/>
        <v>1.8645833333333361E-2</v>
      </c>
      <c r="N672">
        <f t="shared" si="24"/>
        <v>5</v>
      </c>
    </row>
    <row r="673" spans="1:14" x14ac:dyDescent="0.3">
      <c r="A673" s="1"/>
      <c r="B673" s="1"/>
      <c r="C673" s="1"/>
      <c r="D673" s="1"/>
      <c r="E673" s="1"/>
      <c r="F673" s="1"/>
      <c r="G673" s="9" t="s">
        <v>1259</v>
      </c>
      <c r="H673" s="9" t="s">
        <v>119</v>
      </c>
      <c r="I673" s="9" t="s">
        <v>926</v>
      </c>
      <c r="J673" s="9" t="s">
        <v>1912</v>
      </c>
      <c r="K673" s="3" t="s">
        <v>1260</v>
      </c>
      <c r="L673" s="13" t="s">
        <v>1261</v>
      </c>
      <c r="M673" s="15">
        <f t="shared" si="23"/>
        <v>1.0624999999999996E-2</v>
      </c>
      <c r="N673">
        <f t="shared" si="24"/>
        <v>5</v>
      </c>
    </row>
    <row r="674" spans="1:14" x14ac:dyDescent="0.3">
      <c r="A674" s="1"/>
      <c r="B674" s="1"/>
      <c r="C674" s="1"/>
      <c r="D674" s="1"/>
      <c r="E674" s="1"/>
      <c r="F674" s="1"/>
      <c r="G674" s="9" t="s">
        <v>1667</v>
      </c>
      <c r="H674" s="9" t="s">
        <v>119</v>
      </c>
      <c r="I674" s="9" t="s">
        <v>1296</v>
      </c>
      <c r="J674" s="9" t="s">
        <v>1912</v>
      </c>
      <c r="K674" s="3" t="s">
        <v>1668</v>
      </c>
      <c r="L674" s="13" t="s">
        <v>1669</v>
      </c>
      <c r="M674" s="15">
        <f t="shared" si="23"/>
        <v>1.1562499999999976E-2</v>
      </c>
      <c r="N674">
        <f t="shared" si="24"/>
        <v>5</v>
      </c>
    </row>
    <row r="675" spans="1:14" x14ac:dyDescent="0.3">
      <c r="A675" s="1"/>
      <c r="B675" s="1"/>
      <c r="C675" s="1"/>
      <c r="D675" s="1"/>
      <c r="E675" s="1"/>
      <c r="F675" s="1"/>
      <c r="G675" s="9" t="s">
        <v>2262</v>
      </c>
      <c r="H675" s="9" t="s">
        <v>119</v>
      </c>
      <c r="I675" s="9" t="s">
        <v>1914</v>
      </c>
      <c r="J675" s="9" t="s">
        <v>1912</v>
      </c>
      <c r="K675" s="3" t="s">
        <v>2263</v>
      </c>
      <c r="L675" s="13" t="s">
        <v>2264</v>
      </c>
      <c r="M675" s="15">
        <f t="shared" si="23"/>
        <v>2.3009259259259257E-2</v>
      </c>
      <c r="N675">
        <f t="shared" si="24"/>
        <v>5</v>
      </c>
    </row>
    <row r="676" spans="1:14" x14ac:dyDescent="0.3">
      <c r="A676" s="1"/>
      <c r="B676" s="1"/>
      <c r="C676" s="9" t="s">
        <v>1670</v>
      </c>
      <c r="D676" s="9" t="s">
        <v>1671</v>
      </c>
      <c r="E676" s="9" t="s">
        <v>1672</v>
      </c>
      <c r="F676" s="9" t="s">
        <v>22</v>
      </c>
      <c r="G676" s="9" t="s">
        <v>1673</v>
      </c>
      <c r="H676" s="9" t="s">
        <v>119</v>
      </c>
      <c r="I676" s="9" t="s">
        <v>1296</v>
      </c>
      <c r="J676" s="9" t="s">
        <v>1912</v>
      </c>
      <c r="K676" s="3" t="s">
        <v>1674</v>
      </c>
      <c r="L676" s="13" t="s">
        <v>1675</v>
      </c>
      <c r="M676" s="15">
        <f t="shared" si="23"/>
        <v>1.649305555555558E-2</v>
      </c>
      <c r="N676">
        <f t="shared" si="24"/>
        <v>7</v>
      </c>
    </row>
    <row r="677" spans="1:14" x14ac:dyDescent="0.3">
      <c r="A677" s="1"/>
      <c r="B677" s="1"/>
      <c r="C677" s="9" t="s">
        <v>911</v>
      </c>
      <c r="D677" s="9" t="s">
        <v>912</v>
      </c>
      <c r="E677" s="9" t="s">
        <v>913</v>
      </c>
      <c r="F677" s="9" t="s">
        <v>22</v>
      </c>
      <c r="G677" s="9" t="s">
        <v>2265</v>
      </c>
      <c r="H677" s="9" t="s">
        <v>119</v>
      </c>
      <c r="I677" s="9" t="s">
        <v>1914</v>
      </c>
      <c r="J677" s="9" t="s">
        <v>1912</v>
      </c>
      <c r="K677" s="3" t="s">
        <v>2266</v>
      </c>
      <c r="L677" s="13" t="s">
        <v>2267</v>
      </c>
      <c r="M677" s="15">
        <f t="shared" si="23"/>
        <v>3.341435185185182E-2</v>
      </c>
      <c r="N677">
        <f t="shared" si="24"/>
        <v>15</v>
      </c>
    </row>
    <row r="678" spans="1:14" x14ac:dyDescent="0.3">
      <c r="A678" s="1"/>
      <c r="B678" s="1"/>
      <c r="C678" s="9" t="s">
        <v>917</v>
      </c>
      <c r="D678" s="9" t="s">
        <v>918</v>
      </c>
      <c r="E678" s="9" t="s">
        <v>919</v>
      </c>
      <c r="F678" s="9" t="s">
        <v>22</v>
      </c>
      <c r="G678" s="9" t="s">
        <v>2268</v>
      </c>
      <c r="H678" s="9" t="s">
        <v>119</v>
      </c>
      <c r="I678" s="9" t="s">
        <v>1914</v>
      </c>
      <c r="J678" s="9" t="s">
        <v>1912</v>
      </c>
      <c r="K678" s="3" t="s">
        <v>2269</v>
      </c>
      <c r="L678" s="13" t="s">
        <v>2270</v>
      </c>
      <c r="M678" s="15">
        <f t="shared" si="23"/>
        <v>1.6655092592592569E-2</v>
      </c>
      <c r="N678">
        <f t="shared" si="24"/>
        <v>11</v>
      </c>
    </row>
    <row r="679" spans="1:14" x14ac:dyDescent="0.3">
      <c r="A679" s="1"/>
      <c r="B679" s="1"/>
      <c r="C679" s="9" t="s">
        <v>452</v>
      </c>
      <c r="D679" s="9" t="s">
        <v>453</v>
      </c>
      <c r="E679" s="9" t="s">
        <v>454</v>
      </c>
      <c r="F679" s="9" t="s">
        <v>22</v>
      </c>
      <c r="G679" s="11" t="s">
        <v>19</v>
      </c>
      <c r="H679" s="2"/>
      <c r="I679" s="2"/>
      <c r="J679" s="7"/>
      <c r="K679" s="4"/>
      <c r="L679" s="12"/>
    </row>
    <row r="680" spans="1:14" x14ac:dyDescent="0.3">
      <c r="A680" s="1"/>
      <c r="B680" s="1"/>
      <c r="C680" s="1"/>
      <c r="D680" s="1"/>
      <c r="E680" s="1"/>
      <c r="F680" s="1"/>
      <c r="G680" s="9" t="s">
        <v>455</v>
      </c>
      <c r="H680" s="9" t="s">
        <v>119</v>
      </c>
      <c r="I680" s="9" t="s">
        <v>25</v>
      </c>
      <c r="J680" s="9" t="s">
        <v>1912</v>
      </c>
      <c r="K680" s="3" t="s">
        <v>456</v>
      </c>
      <c r="L680" s="13" t="s">
        <v>457</v>
      </c>
      <c r="M680" s="15">
        <f t="shared" si="23"/>
        <v>3.3067129629629655E-2</v>
      </c>
      <c r="N680">
        <f t="shared" si="24"/>
        <v>14</v>
      </c>
    </row>
    <row r="681" spans="1:14" x14ac:dyDescent="0.3">
      <c r="A681" s="1"/>
      <c r="B681" s="1"/>
      <c r="C681" s="1"/>
      <c r="D681" s="1"/>
      <c r="E681" s="1"/>
      <c r="F681" s="1"/>
      <c r="G681" s="9" t="s">
        <v>458</v>
      </c>
      <c r="H681" s="9" t="s">
        <v>119</v>
      </c>
      <c r="I681" s="9" t="s">
        <v>25</v>
      </c>
      <c r="J681" s="9" t="s">
        <v>1912</v>
      </c>
      <c r="K681" s="3" t="s">
        <v>459</v>
      </c>
      <c r="L681" s="13" t="s">
        <v>460</v>
      </c>
      <c r="M681" s="15">
        <f t="shared" si="23"/>
        <v>4.196759259259264E-2</v>
      </c>
      <c r="N681">
        <f t="shared" si="24"/>
        <v>15</v>
      </c>
    </row>
    <row r="682" spans="1:14" x14ac:dyDescent="0.3">
      <c r="A682" s="1"/>
      <c r="B682" s="1"/>
      <c r="C682" s="1"/>
      <c r="D682" s="1"/>
      <c r="E682" s="1"/>
      <c r="F682" s="1"/>
      <c r="G682" s="9" t="s">
        <v>461</v>
      </c>
      <c r="H682" s="9" t="s">
        <v>119</v>
      </c>
      <c r="I682" s="9" t="s">
        <v>25</v>
      </c>
      <c r="J682" s="9" t="s">
        <v>1912</v>
      </c>
      <c r="K682" s="3" t="s">
        <v>462</v>
      </c>
      <c r="L682" s="13" t="s">
        <v>463</v>
      </c>
      <c r="M682" s="15">
        <f t="shared" si="23"/>
        <v>1.2777777777777777E-2</v>
      </c>
      <c r="N682">
        <f t="shared" si="24"/>
        <v>17</v>
      </c>
    </row>
    <row r="683" spans="1:14" x14ac:dyDescent="0.3">
      <c r="A683" s="1"/>
      <c r="B683" s="1"/>
      <c r="C683" s="1"/>
      <c r="D683" s="1"/>
      <c r="E683" s="1"/>
      <c r="F683" s="1"/>
      <c r="G683" s="9" t="s">
        <v>878</v>
      </c>
      <c r="H683" s="9" t="s">
        <v>119</v>
      </c>
      <c r="I683" s="9" t="s">
        <v>486</v>
      </c>
      <c r="J683" s="9" t="s">
        <v>1912</v>
      </c>
      <c r="K683" s="3" t="s">
        <v>879</v>
      </c>
      <c r="L683" s="13" t="s">
        <v>880</v>
      </c>
      <c r="M683" s="15">
        <f t="shared" si="23"/>
        <v>3.4039351851851807E-2</v>
      </c>
      <c r="N683">
        <f t="shared" si="24"/>
        <v>14</v>
      </c>
    </row>
    <row r="684" spans="1:14" x14ac:dyDescent="0.3">
      <c r="A684" s="1"/>
      <c r="B684" s="1"/>
      <c r="C684" s="1"/>
      <c r="D684" s="1"/>
      <c r="E684" s="1"/>
      <c r="F684" s="1"/>
      <c r="G684" s="9" t="s">
        <v>881</v>
      </c>
      <c r="H684" s="9" t="s">
        <v>119</v>
      </c>
      <c r="I684" s="9" t="s">
        <v>486</v>
      </c>
      <c r="J684" s="9" t="s">
        <v>1912</v>
      </c>
      <c r="K684" s="3" t="s">
        <v>882</v>
      </c>
      <c r="L684" s="13" t="s">
        <v>883</v>
      </c>
      <c r="M684" s="15">
        <f t="shared" si="23"/>
        <v>1.2581018518518561E-2</v>
      </c>
      <c r="N684">
        <f t="shared" si="24"/>
        <v>16</v>
      </c>
    </row>
    <row r="685" spans="1:14" x14ac:dyDescent="0.3">
      <c r="A685" s="1"/>
      <c r="B685" s="1"/>
      <c r="C685" s="1"/>
      <c r="D685" s="1"/>
      <c r="E685" s="1"/>
      <c r="F685" s="1"/>
      <c r="G685" s="9" t="s">
        <v>1262</v>
      </c>
      <c r="H685" s="9" t="s">
        <v>119</v>
      </c>
      <c r="I685" s="9" t="s">
        <v>926</v>
      </c>
      <c r="J685" s="9" t="s">
        <v>1912</v>
      </c>
      <c r="K685" s="3" t="s">
        <v>1263</v>
      </c>
      <c r="L685" s="13" t="s">
        <v>1264</v>
      </c>
      <c r="M685" s="15">
        <f t="shared" si="23"/>
        <v>1.4421296296296349E-2</v>
      </c>
      <c r="N685">
        <f t="shared" si="24"/>
        <v>10</v>
      </c>
    </row>
    <row r="686" spans="1:14" x14ac:dyDescent="0.3">
      <c r="A686" s="1"/>
      <c r="B686" s="1"/>
      <c r="C686" s="1"/>
      <c r="D686" s="1"/>
      <c r="E686" s="1"/>
      <c r="F686" s="1"/>
      <c r="G686" s="9" t="s">
        <v>1265</v>
      </c>
      <c r="H686" s="9" t="s">
        <v>119</v>
      </c>
      <c r="I686" s="9" t="s">
        <v>926</v>
      </c>
      <c r="J686" s="9" t="s">
        <v>1912</v>
      </c>
      <c r="K686" s="3" t="s">
        <v>1266</v>
      </c>
      <c r="L686" s="13" t="s">
        <v>1267</v>
      </c>
      <c r="M686" s="15">
        <f t="shared" si="23"/>
        <v>3.9409722222222165E-2</v>
      </c>
      <c r="N686">
        <f t="shared" si="24"/>
        <v>11</v>
      </c>
    </row>
    <row r="687" spans="1:14" x14ac:dyDescent="0.3">
      <c r="A687" s="1"/>
      <c r="B687" s="1"/>
      <c r="C687" s="1"/>
      <c r="D687" s="1"/>
      <c r="E687" s="1"/>
      <c r="F687" s="1"/>
      <c r="G687" s="9" t="s">
        <v>1676</v>
      </c>
      <c r="H687" s="9" t="s">
        <v>119</v>
      </c>
      <c r="I687" s="9" t="s">
        <v>1296</v>
      </c>
      <c r="J687" s="9" t="s">
        <v>1912</v>
      </c>
      <c r="K687" s="3" t="s">
        <v>1677</v>
      </c>
      <c r="L687" s="13" t="s">
        <v>1678</v>
      </c>
      <c r="M687" s="15">
        <f t="shared" si="23"/>
        <v>3.5092592592592564E-2</v>
      </c>
      <c r="N687">
        <f t="shared" si="24"/>
        <v>10</v>
      </c>
    </row>
    <row r="688" spans="1:14" x14ac:dyDescent="0.3">
      <c r="A688" s="1"/>
      <c r="B688" s="1"/>
      <c r="C688" s="1"/>
      <c r="D688" s="1"/>
      <c r="E688" s="1"/>
      <c r="F688" s="1"/>
      <c r="G688" s="9" t="s">
        <v>2271</v>
      </c>
      <c r="H688" s="9" t="s">
        <v>119</v>
      </c>
      <c r="I688" s="9" t="s">
        <v>1914</v>
      </c>
      <c r="J688" s="9" t="s">
        <v>1912</v>
      </c>
      <c r="K688" s="3" t="s">
        <v>2272</v>
      </c>
      <c r="L688" s="13" t="s">
        <v>2273</v>
      </c>
      <c r="M688" s="15">
        <f t="shared" si="23"/>
        <v>1.4803240740740742E-2</v>
      </c>
      <c r="N688">
        <f t="shared" si="24"/>
        <v>7</v>
      </c>
    </row>
    <row r="689" spans="1:14" x14ac:dyDescent="0.3">
      <c r="A689" s="1"/>
      <c r="B689" s="1"/>
      <c r="C689" s="1"/>
      <c r="D689" s="1"/>
      <c r="E689" s="1"/>
      <c r="F689" s="1"/>
      <c r="G689" s="9" t="s">
        <v>2274</v>
      </c>
      <c r="H689" s="9" t="s">
        <v>119</v>
      </c>
      <c r="I689" s="9" t="s">
        <v>1914</v>
      </c>
      <c r="J689" s="9" t="s">
        <v>1912</v>
      </c>
      <c r="K689" s="3" t="s">
        <v>2275</v>
      </c>
      <c r="L689" s="13" t="s">
        <v>2276</v>
      </c>
      <c r="M689" s="15">
        <f t="shared" si="23"/>
        <v>3.2418981481481479E-2</v>
      </c>
      <c r="N689">
        <f t="shared" si="24"/>
        <v>9</v>
      </c>
    </row>
    <row r="690" spans="1:14" x14ac:dyDescent="0.3">
      <c r="A690" s="9" t="s">
        <v>464</v>
      </c>
      <c r="B690" s="9" t="s">
        <v>465</v>
      </c>
      <c r="C690" s="11" t="s">
        <v>19</v>
      </c>
      <c r="D690" s="2"/>
      <c r="E690" s="2"/>
      <c r="F690" s="2"/>
      <c r="G690" s="2"/>
      <c r="H690" s="2"/>
      <c r="I690" s="2"/>
      <c r="J690" s="7"/>
      <c r="K690" s="4"/>
      <c r="L690" s="12"/>
    </row>
    <row r="691" spans="1:14" x14ac:dyDescent="0.3">
      <c r="A691" s="1"/>
      <c r="B691" s="1"/>
      <c r="C691" s="9" t="s">
        <v>466</v>
      </c>
      <c r="D691" s="9" t="s">
        <v>467</v>
      </c>
      <c r="E691" s="9" t="s">
        <v>468</v>
      </c>
      <c r="F691" s="9" t="s">
        <v>22</v>
      </c>
      <c r="G691" s="11" t="s">
        <v>19</v>
      </c>
      <c r="H691" s="2"/>
      <c r="I691" s="2"/>
      <c r="J691" s="7"/>
      <c r="K691" s="4"/>
      <c r="L691" s="12"/>
    </row>
    <row r="692" spans="1:14" x14ac:dyDescent="0.3">
      <c r="A692" s="1"/>
      <c r="B692" s="1"/>
      <c r="C692" s="1"/>
      <c r="D692" s="1"/>
      <c r="E692" s="1"/>
      <c r="F692" s="1"/>
      <c r="G692" s="9" t="s">
        <v>469</v>
      </c>
      <c r="H692" s="9" t="s">
        <v>24</v>
      </c>
      <c r="I692" s="9" t="s">
        <v>25</v>
      </c>
      <c r="J692" s="9" t="s">
        <v>1912</v>
      </c>
      <c r="K692" s="3" t="s">
        <v>470</v>
      </c>
      <c r="L692" s="13" t="s">
        <v>471</v>
      </c>
      <c r="M692" s="15">
        <f t="shared" si="23"/>
        <v>2.8657407407407409E-2</v>
      </c>
      <c r="N692">
        <f t="shared" si="24"/>
        <v>14</v>
      </c>
    </row>
    <row r="693" spans="1:14" x14ac:dyDescent="0.3">
      <c r="A693" s="1"/>
      <c r="B693" s="1"/>
      <c r="C693" s="1"/>
      <c r="D693" s="1"/>
      <c r="E693" s="1"/>
      <c r="F693" s="1"/>
      <c r="G693" s="9" t="s">
        <v>472</v>
      </c>
      <c r="H693" s="9" t="s">
        <v>39</v>
      </c>
      <c r="I693" s="9" t="s">
        <v>25</v>
      </c>
      <c r="J693" s="9" t="s">
        <v>1912</v>
      </c>
      <c r="K693" s="3" t="s">
        <v>473</v>
      </c>
      <c r="L693" s="13" t="s">
        <v>474</v>
      </c>
      <c r="M693" s="15">
        <f t="shared" si="23"/>
        <v>1.4108796296296244E-2</v>
      </c>
      <c r="N693">
        <f t="shared" si="24"/>
        <v>22</v>
      </c>
    </row>
    <row r="694" spans="1:14" x14ac:dyDescent="0.3">
      <c r="A694" s="1"/>
      <c r="B694" s="1"/>
      <c r="C694" s="1"/>
      <c r="D694" s="1"/>
      <c r="E694" s="1"/>
      <c r="F694" s="1"/>
      <c r="G694" s="9" t="s">
        <v>884</v>
      </c>
      <c r="H694" s="9" t="s">
        <v>39</v>
      </c>
      <c r="I694" s="9" t="s">
        <v>486</v>
      </c>
      <c r="J694" s="9" t="s">
        <v>1912</v>
      </c>
      <c r="K694" s="3" t="s">
        <v>885</v>
      </c>
      <c r="L694" s="13" t="s">
        <v>886</v>
      </c>
      <c r="M694" s="15">
        <f t="shared" si="23"/>
        <v>1.4629629629629631E-2</v>
      </c>
      <c r="N694">
        <f t="shared" si="24"/>
        <v>1</v>
      </c>
    </row>
    <row r="695" spans="1:14" x14ac:dyDescent="0.3">
      <c r="A695" s="1"/>
      <c r="B695" s="1"/>
      <c r="C695" s="1"/>
      <c r="D695" s="1"/>
      <c r="E695" s="1"/>
      <c r="F695" s="1"/>
      <c r="G695" s="9" t="s">
        <v>887</v>
      </c>
      <c r="H695" s="9" t="s">
        <v>39</v>
      </c>
      <c r="I695" s="9" t="s">
        <v>486</v>
      </c>
      <c r="J695" s="9" t="s">
        <v>1912</v>
      </c>
      <c r="K695" s="3" t="s">
        <v>888</v>
      </c>
      <c r="L695" s="13" t="s">
        <v>889</v>
      </c>
      <c r="M695" s="15">
        <f t="shared" si="23"/>
        <v>1.4618055555555537E-2</v>
      </c>
      <c r="N695">
        <f t="shared" si="24"/>
        <v>5</v>
      </c>
    </row>
    <row r="696" spans="1:14" x14ac:dyDescent="0.3">
      <c r="A696" s="1"/>
      <c r="B696" s="1"/>
      <c r="C696" s="1"/>
      <c r="D696" s="1"/>
      <c r="E696" s="1"/>
      <c r="F696" s="1"/>
      <c r="G696" s="9" t="s">
        <v>1268</v>
      </c>
      <c r="H696" s="9" t="s">
        <v>39</v>
      </c>
      <c r="I696" s="9" t="s">
        <v>926</v>
      </c>
      <c r="J696" s="9" t="s">
        <v>1912</v>
      </c>
      <c r="K696" s="3" t="s">
        <v>1269</v>
      </c>
      <c r="L696" s="13" t="s">
        <v>1270</v>
      </c>
      <c r="M696" s="15">
        <f t="shared" si="23"/>
        <v>4.1319444444444409E-2</v>
      </c>
      <c r="N696">
        <f t="shared" si="24"/>
        <v>10</v>
      </c>
    </row>
    <row r="697" spans="1:14" x14ac:dyDescent="0.3">
      <c r="A697" s="1"/>
      <c r="B697" s="1"/>
      <c r="C697" s="1"/>
      <c r="D697" s="1"/>
      <c r="E697" s="1"/>
      <c r="F697" s="1"/>
      <c r="G697" s="9" t="s">
        <v>1271</v>
      </c>
      <c r="H697" s="9" t="s">
        <v>39</v>
      </c>
      <c r="I697" s="9" t="s">
        <v>926</v>
      </c>
      <c r="J697" s="9" t="s">
        <v>1912</v>
      </c>
      <c r="K697" s="3" t="s">
        <v>1272</v>
      </c>
      <c r="L697" s="13" t="s">
        <v>1273</v>
      </c>
      <c r="M697" s="15">
        <f t="shared" si="23"/>
        <v>3.9687500000000098E-2</v>
      </c>
      <c r="N697">
        <f t="shared" si="24"/>
        <v>12</v>
      </c>
    </row>
    <row r="698" spans="1:14" x14ac:dyDescent="0.3">
      <c r="A698" s="1"/>
      <c r="B698" s="1"/>
      <c r="C698" s="1"/>
      <c r="D698" s="1"/>
      <c r="E698" s="1"/>
      <c r="F698" s="1"/>
      <c r="G698" s="9" t="s">
        <v>1679</v>
      </c>
      <c r="H698" s="9" t="s">
        <v>39</v>
      </c>
      <c r="I698" s="9" t="s">
        <v>1296</v>
      </c>
      <c r="J698" s="9" t="s">
        <v>1912</v>
      </c>
      <c r="K698" s="3" t="s">
        <v>649</v>
      </c>
      <c r="L698" s="13" t="s">
        <v>1680</v>
      </c>
      <c r="M698" s="15">
        <f t="shared" si="23"/>
        <v>2.3680555555555594E-2</v>
      </c>
      <c r="N698">
        <f t="shared" si="24"/>
        <v>15</v>
      </c>
    </row>
    <row r="699" spans="1:14" x14ac:dyDescent="0.3">
      <c r="A699" s="1"/>
      <c r="B699" s="1"/>
      <c r="C699" s="1"/>
      <c r="D699" s="1"/>
      <c r="E699" s="1"/>
      <c r="F699" s="1"/>
      <c r="G699" s="9" t="s">
        <v>2277</v>
      </c>
      <c r="H699" s="9" t="s">
        <v>39</v>
      </c>
      <c r="I699" s="9" t="s">
        <v>1914</v>
      </c>
      <c r="J699" s="9" t="s">
        <v>1912</v>
      </c>
      <c r="K699" s="3" t="s">
        <v>2278</v>
      </c>
      <c r="L699" s="13" t="s">
        <v>1828</v>
      </c>
      <c r="M699" s="15">
        <f t="shared" si="23"/>
        <v>1.5416666666666634E-2</v>
      </c>
      <c r="N699">
        <f t="shared" si="24"/>
        <v>10</v>
      </c>
    </row>
    <row r="700" spans="1:14" x14ac:dyDescent="0.3">
      <c r="A700" s="1"/>
      <c r="B700" s="1"/>
      <c r="C700" s="1"/>
      <c r="D700" s="1"/>
      <c r="E700" s="1"/>
      <c r="F700" s="1"/>
      <c r="G700" s="9" t="s">
        <v>2279</v>
      </c>
      <c r="H700" s="9" t="s">
        <v>39</v>
      </c>
      <c r="I700" s="9" t="s">
        <v>1945</v>
      </c>
      <c r="J700" s="9" t="s">
        <v>1912</v>
      </c>
      <c r="K700" s="3" t="s">
        <v>2280</v>
      </c>
      <c r="L700" s="13" t="s">
        <v>2281</v>
      </c>
      <c r="M700" s="15">
        <f t="shared" si="23"/>
        <v>1.7025462962962923E-2</v>
      </c>
      <c r="N700">
        <f t="shared" si="24"/>
        <v>11</v>
      </c>
    </row>
    <row r="701" spans="1:14" x14ac:dyDescent="0.3">
      <c r="A701" s="1"/>
      <c r="B701" s="1"/>
      <c r="C701" s="9" t="s">
        <v>429</v>
      </c>
      <c r="D701" s="9" t="s">
        <v>430</v>
      </c>
      <c r="E701" s="9" t="s">
        <v>430</v>
      </c>
      <c r="F701" s="9" t="s">
        <v>22</v>
      </c>
      <c r="G701" s="11" t="s">
        <v>19</v>
      </c>
      <c r="H701" s="2"/>
      <c r="I701" s="2"/>
      <c r="J701" s="7"/>
      <c r="K701" s="4"/>
      <c r="L701" s="12"/>
    </row>
    <row r="702" spans="1:14" x14ac:dyDescent="0.3">
      <c r="A702" s="1"/>
      <c r="B702" s="1"/>
      <c r="C702" s="1"/>
      <c r="D702" s="1"/>
      <c r="E702" s="1"/>
      <c r="F702" s="1"/>
      <c r="G702" s="9" t="s">
        <v>1274</v>
      </c>
      <c r="H702" s="9" t="s">
        <v>39</v>
      </c>
      <c r="I702" s="9" t="s">
        <v>926</v>
      </c>
      <c r="J702" s="9" t="s">
        <v>1912</v>
      </c>
      <c r="K702" s="3" t="s">
        <v>1275</v>
      </c>
      <c r="L702" s="13" t="s">
        <v>1276</v>
      </c>
      <c r="M702" s="15">
        <f t="shared" si="23"/>
        <v>1.2835648148148138E-2</v>
      </c>
      <c r="N702">
        <f t="shared" si="24"/>
        <v>4</v>
      </c>
    </row>
    <row r="703" spans="1:14" x14ac:dyDescent="0.3">
      <c r="A703" s="1"/>
      <c r="B703" s="1"/>
      <c r="C703" s="1"/>
      <c r="D703" s="1"/>
      <c r="E703" s="1"/>
      <c r="F703" s="1"/>
      <c r="G703" s="9" t="s">
        <v>2282</v>
      </c>
      <c r="H703" s="9" t="s">
        <v>39</v>
      </c>
      <c r="I703" s="9" t="s">
        <v>1914</v>
      </c>
      <c r="J703" s="9" t="s">
        <v>1912</v>
      </c>
      <c r="K703" s="3" t="s">
        <v>2283</v>
      </c>
      <c r="L703" s="13" t="s">
        <v>2284</v>
      </c>
      <c r="M703" s="15">
        <f t="shared" si="23"/>
        <v>1.4085648148148167E-2</v>
      </c>
      <c r="N703">
        <f t="shared" si="24"/>
        <v>4</v>
      </c>
    </row>
    <row r="704" spans="1:14" x14ac:dyDescent="0.3">
      <c r="A704" s="1"/>
      <c r="B704" s="1"/>
      <c r="C704" s="9" t="s">
        <v>1277</v>
      </c>
      <c r="D704" s="9" t="s">
        <v>1278</v>
      </c>
      <c r="E704" s="9" t="s">
        <v>1279</v>
      </c>
      <c r="F704" s="9" t="s">
        <v>22</v>
      </c>
      <c r="G704" s="11" t="s">
        <v>19</v>
      </c>
      <c r="H704" s="2"/>
      <c r="I704" s="2"/>
      <c r="J704" s="7"/>
      <c r="K704" s="4"/>
      <c r="L704" s="12"/>
    </row>
    <row r="705" spans="1:14" x14ac:dyDescent="0.3">
      <c r="A705" s="1"/>
      <c r="B705" s="1"/>
      <c r="C705" s="1"/>
      <c r="D705" s="1"/>
      <c r="E705" s="1"/>
      <c r="F705" s="1"/>
      <c r="G705" s="9" t="s">
        <v>1280</v>
      </c>
      <c r="H705" s="9" t="s">
        <v>39</v>
      </c>
      <c r="I705" s="9" t="s">
        <v>926</v>
      </c>
      <c r="J705" s="9" t="s">
        <v>1912</v>
      </c>
      <c r="K705" s="3" t="s">
        <v>1281</v>
      </c>
      <c r="L705" s="13" t="s">
        <v>1282</v>
      </c>
      <c r="M705" s="15">
        <f t="shared" si="23"/>
        <v>1.9050925925925832E-2</v>
      </c>
      <c r="N705">
        <f t="shared" si="24"/>
        <v>16</v>
      </c>
    </row>
    <row r="706" spans="1:14" x14ac:dyDescent="0.3">
      <c r="A706" s="1"/>
      <c r="B706" s="1"/>
      <c r="C706" s="1"/>
      <c r="D706" s="1"/>
      <c r="E706" s="1"/>
      <c r="F706" s="1"/>
      <c r="G706" s="9" t="s">
        <v>1681</v>
      </c>
      <c r="H706" s="9" t="s">
        <v>39</v>
      </c>
      <c r="I706" s="9" t="s">
        <v>1296</v>
      </c>
      <c r="J706" s="9" t="s">
        <v>1912</v>
      </c>
      <c r="K706" s="3" t="s">
        <v>1682</v>
      </c>
      <c r="L706" s="13" t="s">
        <v>1683</v>
      </c>
      <c r="M706" s="15">
        <f t="shared" si="23"/>
        <v>1.5462962962962901E-2</v>
      </c>
      <c r="N706">
        <f t="shared" si="24"/>
        <v>12</v>
      </c>
    </row>
    <row r="707" spans="1:14" x14ac:dyDescent="0.3">
      <c r="A707" s="1"/>
      <c r="B707" s="1"/>
      <c r="C707" s="1"/>
      <c r="D707" s="1"/>
      <c r="E707" s="1"/>
      <c r="F707" s="1"/>
      <c r="G707" s="9" t="s">
        <v>1684</v>
      </c>
      <c r="H707" s="9" t="s">
        <v>39</v>
      </c>
      <c r="I707" s="9" t="s">
        <v>1296</v>
      </c>
      <c r="J707" s="9" t="s">
        <v>1912</v>
      </c>
      <c r="K707" s="3" t="s">
        <v>1685</v>
      </c>
      <c r="L707" s="13" t="s">
        <v>1686</v>
      </c>
      <c r="M707" s="15">
        <f t="shared" ref="M707:M727" si="25">L707-K707</f>
        <v>1.5127314814814774E-2</v>
      </c>
      <c r="N707">
        <f t="shared" ref="N707:N727" si="26">HOUR(K707)</f>
        <v>17</v>
      </c>
    </row>
    <row r="708" spans="1:14" x14ac:dyDescent="0.3">
      <c r="A708" s="1"/>
      <c r="B708" s="1"/>
      <c r="C708" s="1"/>
      <c r="D708" s="1"/>
      <c r="E708" s="1"/>
      <c r="F708" s="1"/>
      <c r="G708" s="9" t="s">
        <v>2285</v>
      </c>
      <c r="H708" s="9" t="s">
        <v>39</v>
      </c>
      <c r="I708" s="9" t="s">
        <v>1914</v>
      </c>
      <c r="J708" s="9" t="s">
        <v>1912</v>
      </c>
      <c r="K708" s="3" t="s">
        <v>2286</v>
      </c>
      <c r="L708" s="13" t="s">
        <v>2287</v>
      </c>
      <c r="M708" s="15">
        <f t="shared" si="25"/>
        <v>5.872685185185178E-2</v>
      </c>
      <c r="N708">
        <f t="shared" si="26"/>
        <v>14</v>
      </c>
    </row>
    <row r="709" spans="1:14" x14ac:dyDescent="0.3">
      <c r="A709" s="1"/>
      <c r="B709" s="1"/>
      <c r="C709" s="9" t="s">
        <v>475</v>
      </c>
      <c r="D709" s="9" t="s">
        <v>476</v>
      </c>
      <c r="E709" s="9" t="s">
        <v>477</v>
      </c>
      <c r="F709" s="9" t="s">
        <v>22</v>
      </c>
      <c r="G709" s="11" t="s">
        <v>19</v>
      </c>
      <c r="H709" s="2"/>
      <c r="I709" s="2"/>
      <c r="J709" s="7"/>
      <c r="K709" s="4"/>
      <c r="L709" s="12"/>
    </row>
    <row r="710" spans="1:14" x14ac:dyDescent="0.3">
      <c r="A710" s="1"/>
      <c r="B710" s="1"/>
      <c r="C710" s="1"/>
      <c r="D710" s="1"/>
      <c r="E710" s="1"/>
      <c r="F710" s="1"/>
      <c r="G710" s="9" t="s">
        <v>478</v>
      </c>
      <c r="H710" s="9" t="s">
        <v>39</v>
      </c>
      <c r="I710" s="9" t="s">
        <v>25</v>
      </c>
      <c r="J710" s="9" t="s">
        <v>1912</v>
      </c>
      <c r="K710" s="3" t="s">
        <v>479</v>
      </c>
      <c r="L710" s="13" t="s">
        <v>480</v>
      </c>
      <c r="M710" s="15">
        <f t="shared" si="25"/>
        <v>3.2395833333333346E-2</v>
      </c>
      <c r="N710">
        <f t="shared" si="26"/>
        <v>10</v>
      </c>
    </row>
    <row r="711" spans="1:14" x14ac:dyDescent="0.3">
      <c r="A711" s="1"/>
      <c r="B711" s="1"/>
      <c r="C711" s="1"/>
      <c r="D711" s="1"/>
      <c r="E711" s="1"/>
      <c r="F711" s="1"/>
      <c r="G711" s="9" t="s">
        <v>890</v>
      </c>
      <c r="H711" s="9" t="s">
        <v>39</v>
      </c>
      <c r="I711" s="9" t="s">
        <v>486</v>
      </c>
      <c r="J711" s="9" t="s">
        <v>1912</v>
      </c>
      <c r="K711" s="3" t="s">
        <v>891</v>
      </c>
      <c r="L711" s="13" t="s">
        <v>892</v>
      </c>
      <c r="M711" s="15">
        <f t="shared" si="25"/>
        <v>3.5266203703703675E-2</v>
      </c>
      <c r="N711">
        <f t="shared" si="26"/>
        <v>5</v>
      </c>
    </row>
    <row r="712" spans="1:14" x14ac:dyDescent="0.3">
      <c r="A712" s="1"/>
      <c r="B712" s="1"/>
      <c r="C712" s="1"/>
      <c r="D712" s="1"/>
      <c r="E712" s="1"/>
      <c r="F712" s="1"/>
      <c r="G712" s="9" t="s">
        <v>893</v>
      </c>
      <c r="H712" s="9" t="s">
        <v>39</v>
      </c>
      <c r="I712" s="9" t="s">
        <v>486</v>
      </c>
      <c r="J712" s="9" t="s">
        <v>1912</v>
      </c>
      <c r="K712" s="3" t="s">
        <v>894</v>
      </c>
      <c r="L712" s="13" t="s">
        <v>895</v>
      </c>
      <c r="M712" s="15">
        <f t="shared" si="25"/>
        <v>3.5763888888888928E-2</v>
      </c>
      <c r="N712">
        <f t="shared" si="26"/>
        <v>9</v>
      </c>
    </row>
    <row r="713" spans="1:14" x14ac:dyDescent="0.3">
      <c r="A713" s="1"/>
      <c r="B713" s="1"/>
      <c r="C713" s="1"/>
      <c r="D713" s="1"/>
      <c r="E713" s="1"/>
      <c r="F713" s="1"/>
      <c r="G713" s="9" t="s">
        <v>896</v>
      </c>
      <c r="H713" s="9" t="s">
        <v>39</v>
      </c>
      <c r="I713" s="9" t="s">
        <v>486</v>
      </c>
      <c r="J713" s="9" t="s">
        <v>1912</v>
      </c>
      <c r="K713" s="3" t="s">
        <v>897</v>
      </c>
      <c r="L713" s="13" t="s">
        <v>898</v>
      </c>
      <c r="M713" s="15">
        <f t="shared" si="25"/>
        <v>4.54282407407407E-2</v>
      </c>
      <c r="N713">
        <f t="shared" si="26"/>
        <v>10</v>
      </c>
    </row>
    <row r="714" spans="1:14" x14ac:dyDescent="0.3">
      <c r="A714" s="1"/>
      <c r="B714" s="1"/>
      <c r="C714" s="1"/>
      <c r="D714" s="1"/>
      <c r="E714" s="1"/>
      <c r="F714" s="1"/>
      <c r="G714" s="9" t="s">
        <v>899</v>
      </c>
      <c r="H714" s="9" t="s">
        <v>39</v>
      </c>
      <c r="I714" s="9" t="s">
        <v>486</v>
      </c>
      <c r="J714" s="9" t="s">
        <v>1912</v>
      </c>
      <c r="K714" s="3" t="s">
        <v>900</v>
      </c>
      <c r="L714" s="13" t="s">
        <v>901</v>
      </c>
      <c r="M714" s="15">
        <f t="shared" si="25"/>
        <v>2.2812500000000013E-2</v>
      </c>
      <c r="N714">
        <f t="shared" si="26"/>
        <v>13</v>
      </c>
    </row>
    <row r="715" spans="1:14" x14ac:dyDescent="0.3">
      <c r="A715" s="1"/>
      <c r="B715" s="1"/>
      <c r="C715" s="1"/>
      <c r="D715" s="1"/>
      <c r="E715" s="1"/>
      <c r="F715" s="1"/>
      <c r="G715" s="9" t="s">
        <v>902</v>
      </c>
      <c r="H715" s="9" t="s">
        <v>39</v>
      </c>
      <c r="I715" s="9" t="s">
        <v>486</v>
      </c>
      <c r="J715" s="9" t="s">
        <v>1912</v>
      </c>
      <c r="K715" s="3" t="s">
        <v>903</v>
      </c>
      <c r="L715" s="13" t="s">
        <v>904</v>
      </c>
      <c r="M715" s="15">
        <f t="shared" si="25"/>
        <v>2.7083333333333348E-2</v>
      </c>
      <c r="N715">
        <f t="shared" si="26"/>
        <v>15</v>
      </c>
    </row>
    <row r="716" spans="1:14" x14ac:dyDescent="0.3">
      <c r="A716" s="1"/>
      <c r="B716" s="1"/>
      <c r="C716" s="1"/>
      <c r="D716" s="1"/>
      <c r="E716" s="1"/>
      <c r="F716" s="1"/>
      <c r="G716" s="9" t="s">
        <v>1283</v>
      </c>
      <c r="H716" s="9" t="s">
        <v>39</v>
      </c>
      <c r="I716" s="9" t="s">
        <v>926</v>
      </c>
      <c r="J716" s="9" t="s">
        <v>1912</v>
      </c>
      <c r="K716" s="3" t="s">
        <v>1284</v>
      </c>
      <c r="L716" s="13" t="s">
        <v>1285</v>
      </c>
      <c r="M716" s="15">
        <f t="shared" si="25"/>
        <v>1.309027777777777E-2</v>
      </c>
      <c r="N716">
        <f t="shared" si="26"/>
        <v>10</v>
      </c>
    </row>
    <row r="717" spans="1:14" x14ac:dyDescent="0.3">
      <c r="A717" s="1"/>
      <c r="B717" s="1"/>
      <c r="C717" s="1"/>
      <c r="D717" s="1"/>
      <c r="E717" s="1"/>
      <c r="F717" s="1"/>
      <c r="G717" s="9" t="s">
        <v>1286</v>
      </c>
      <c r="H717" s="9" t="s">
        <v>39</v>
      </c>
      <c r="I717" s="9" t="s">
        <v>926</v>
      </c>
      <c r="J717" s="9" t="s">
        <v>1912</v>
      </c>
      <c r="K717" s="3" t="s">
        <v>1287</v>
      </c>
      <c r="L717" s="13" t="s">
        <v>1288</v>
      </c>
      <c r="M717" s="15">
        <f t="shared" si="25"/>
        <v>3.1516203703703727E-2</v>
      </c>
      <c r="N717">
        <f t="shared" si="26"/>
        <v>10</v>
      </c>
    </row>
    <row r="718" spans="1:14" x14ac:dyDescent="0.3">
      <c r="A718" s="1"/>
      <c r="B718" s="1"/>
      <c r="C718" s="1"/>
      <c r="D718" s="1"/>
      <c r="E718" s="1"/>
      <c r="F718" s="1"/>
      <c r="G718" s="9" t="s">
        <v>1289</v>
      </c>
      <c r="H718" s="9" t="s">
        <v>39</v>
      </c>
      <c r="I718" s="9" t="s">
        <v>926</v>
      </c>
      <c r="J718" s="9" t="s">
        <v>1912</v>
      </c>
      <c r="K718" s="3" t="s">
        <v>1290</v>
      </c>
      <c r="L718" s="13" t="s">
        <v>1291</v>
      </c>
      <c r="M718" s="15">
        <f t="shared" si="25"/>
        <v>1.7847222222222237E-2</v>
      </c>
      <c r="N718">
        <f t="shared" si="26"/>
        <v>14</v>
      </c>
    </row>
    <row r="719" spans="1:14" x14ac:dyDescent="0.3">
      <c r="A719" s="1"/>
      <c r="B719" s="1"/>
      <c r="C719" s="1"/>
      <c r="D719" s="1"/>
      <c r="E719" s="1"/>
      <c r="F719" s="1"/>
      <c r="G719" s="9" t="s">
        <v>1292</v>
      </c>
      <c r="H719" s="9" t="s">
        <v>39</v>
      </c>
      <c r="I719" s="9" t="s">
        <v>926</v>
      </c>
      <c r="J719" s="9" t="s">
        <v>1912</v>
      </c>
      <c r="K719" s="3" t="s">
        <v>1293</v>
      </c>
      <c r="L719" s="13" t="s">
        <v>1294</v>
      </c>
      <c r="M719" s="15">
        <f t="shared" si="25"/>
        <v>2.2395833333333393E-2</v>
      </c>
      <c r="N719">
        <f t="shared" si="26"/>
        <v>16</v>
      </c>
    </row>
    <row r="720" spans="1:14" x14ac:dyDescent="0.3">
      <c r="A720" s="1"/>
      <c r="B720" s="1"/>
      <c r="C720" s="9" t="s">
        <v>905</v>
      </c>
      <c r="D720" s="9" t="s">
        <v>906</v>
      </c>
      <c r="E720" s="9" t="s">
        <v>907</v>
      </c>
      <c r="F720" s="9" t="s">
        <v>22</v>
      </c>
      <c r="G720" s="9" t="s">
        <v>908</v>
      </c>
      <c r="H720" s="9" t="s">
        <v>39</v>
      </c>
      <c r="I720" s="9" t="s">
        <v>486</v>
      </c>
      <c r="J720" s="9" t="s">
        <v>1912</v>
      </c>
      <c r="K720" s="3" t="s">
        <v>909</v>
      </c>
      <c r="L720" s="13" t="s">
        <v>910</v>
      </c>
      <c r="M720" s="15">
        <f t="shared" si="25"/>
        <v>3.0104166666666599E-2</v>
      </c>
      <c r="N720">
        <f t="shared" si="26"/>
        <v>12</v>
      </c>
    </row>
    <row r="721" spans="1:14" x14ac:dyDescent="0.3">
      <c r="A721" s="1"/>
      <c r="B721" s="1"/>
      <c r="C721" s="9" t="s">
        <v>911</v>
      </c>
      <c r="D721" s="9" t="s">
        <v>912</v>
      </c>
      <c r="E721" s="9" t="s">
        <v>913</v>
      </c>
      <c r="F721" s="9" t="s">
        <v>22</v>
      </c>
      <c r="G721" s="11" t="s">
        <v>19</v>
      </c>
      <c r="H721" s="2"/>
      <c r="I721" s="2"/>
      <c r="J721" s="7"/>
      <c r="K721" s="4"/>
      <c r="L721" s="12"/>
    </row>
    <row r="722" spans="1:14" x14ac:dyDescent="0.3">
      <c r="A722" s="1"/>
      <c r="B722" s="1"/>
      <c r="C722" s="1"/>
      <c r="D722" s="1"/>
      <c r="E722" s="1"/>
      <c r="F722" s="1"/>
      <c r="G722" s="9" t="s">
        <v>914</v>
      </c>
      <c r="H722" s="9" t="s">
        <v>39</v>
      </c>
      <c r="I722" s="9" t="s">
        <v>486</v>
      </c>
      <c r="J722" s="9" t="s">
        <v>1912</v>
      </c>
      <c r="K722" s="3" t="s">
        <v>915</v>
      </c>
      <c r="L722" s="13" t="s">
        <v>916</v>
      </c>
      <c r="M722" s="15">
        <f t="shared" si="25"/>
        <v>2.5787037037036997E-2</v>
      </c>
      <c r="N722">
        <f t="shared" si="26"/>
        <v>12</v>
      </c>
    </row>
    <row r="723" spans="1:14" x14ac:dyDescent="0.3">
      <c r="A723" s="1"/>
      <c r="B723" s="1"/>
      <c r="C723" s="1"/>
      <c r="D723" s="1"/>
      <c r="E723" s="1"/>
      <c r="F723" s="1"/>
      <c r="G723" s="9" t="s">
        <v>2288</v>
      </c>
      <c r="H723" s="9" t="s">
        <v>39</v>
      </c>
      <c r="I723" s="9" t="s">
        <v>1914</v>
      </c>
      <c r="J723" s="9" t="s">
        <v>1912</v>
      </c>
      <c r="K723" s="3" t="s">
        <v>2289</v>
      </c>
      <c r="L723" s="13" t="s">
        <v>2290</v>
      </c>
      <c r="M723" s="15">
        <f t="shared" si="25"/>
        <v>2.2013888888888944E-2</v>
      </c>
      <c r="N723">
        <f t="shared" si="26"/>
        <v>10</v>
      </c>
    </row>
    <row r="724" spans="1:14" x14ac:dyDescent="0.3">
      <c r="A724" s="1"/>
      <c r="B724" s="1"/>
      <c r="C724" s="1"/>
      <c r="D724" s="1"/>
      <c r="E724" s="1"/>
      <c r="F724" s="1"/>
      <c r="G724" s="9" t="s">
        <v>2291</v>
      </c>
      <c r="H724" s="9" t="s">
        <v>39</v>
      </c>
      <c r="I724" s="9" t="s">
        <v>1914</v>
      </c>
      <c r="J724" s="9" t="s">
        <v>1912</v>
      </c>
      <c r="K724" s="3" t="s">
        <v>2292</v>
      </c>
      <c r="L724" s="13" t="s">
        <v>2293</v>
      </c>
      <c r="M724" s="15">
        <f t="shared" si="25"/>
        <v>2.1203703703703725E-2</v>
      </c>
      <c r="N724">
        <f t="shared" si="26"/>
        <v>12</v>
      </c>
    </row>
    <row r="725" spans="1:14" x14ac:dyDescent="0.3">
      <c r="A725" s="1"/>
      <c r="B725" s="1"/>
      <c r="C725" s="1"/>
      <c r="D725" s="1"/>
      <c r="E725" s="1"/>
      <c r="F725" s="1"/>
      <c r="G725" s="9" t="s">
        <v>2294</v>
      </c>
      <c r="H725" s="9" t="s">
        <v>39</v>
      </c>
      <c r="I725" s="9" t="s">
        <v>1914</v>
      </c>
      <c r="J725" s="9" t="s">
        <v>1912</v>
      </c>
      <c r="K725" s="3" t="s">
        <v>2295</v>
      </c>
      <c r="L725" s="13" t="s">
        <v>2296</v>
      </c>
      <c r="M725" s="15">
        <f t="shared" si="25"/>
        <v>1.6076388888888848E-2</v>
      </c>
      <c r="N725">
        <f t="shared" si="26"/>
        <v>13</v>
      </c>
    </row>
    <row r="726" spans="1:14" x14ac:dyDescent="0.3">
      <c r="A726" s="1"/>
      <c r="B726" s="1"/>
      <c r="C726" s="9" t="s">
        <v>917</v>
      </c>
      <c r="D726" s="9" t="s">
        <v>918</v>
      </c>
      <c r="E726" s="9" t="s">
        <v>919</v>
      </c>
      <c r="F726" s="9" t="s">
        <v>22</v>
      </c>
      <c r="G726" s="9" t="s">
        <v>920</v>
      </c>
      <c r="H726" s="9" t="s">
        <v>39</v>
      </c>
      <c r="I726" s="9" t="s">
        <v>486</v>
      </c>
      <c r="J726" s="9" t="s">
        <v>1912</v>
      </c>
      <c r="K726" s="3" t="s">
        <v>921</v>
      </c>
      <c r="L726" s="13" t="s">
        <v>922</v>
      </c>
      <c r="M726" s="15">
        <f t="shared" si="25"/>
        <v>5.3263888888888888E-2</v>
      </c>
      <c r="N726">
        <f t="shared" si="26"/>
        <v>13</v>
      </c>
    </row>
    <row r="727" spans="1:14" x14ac:dyDescent="0.3">
      <c r="A727" s="1"/>
      <c r="B727" s="1"/>
      <c r="C727" s="9" t="s">
        <v>452</v>
      </c>
      <c r="D727" s="9" t="s">
        <v>453</v>
      </c>
      <c r="E727" s="9" t="s">
        <v>454</v>
      </c>
      <c r="F727" s="9" t="s">
        <v>22</v>
      </c>
      <c r="G727" s="9" t="s">
        <v>481</v>
      </c>
      <c r="H727" s="9" t="s">
        <v>39</v>
      </c>
      <c r="I727" s="9" t="s">
        <v>25</v>
      </c>
      <c r="J727" s="9" t="s">
        <v>1912</v>
      </c>
      <c r="K727" s="6" t="s">
        <v>482</v>
      </c>
      <c r="L727" s="14" t="s">
        <v>483</v>
      </c>
      <c r="M727" s="15">
        <f t="shared" si="25"/>
        <v>2.8668981481481504E-2</v>
      </c>
      <c r="N727">
        <f t="shared" si="26"/>
        <v>9</v>
      </c>
    </row>
    <row r="728" spans="1:14" x14ac:dyDescent="0.3">
      <c r="A728" s="21"/>
      <c r="B728" s="21"/>
      <c r="C728" s="21"/>
      <c r="D728" s="21"/>
      <c r="E728" s="21"/>
      <c r="F728" s="21"/>
      <c r="G728" s="17"/>
      <c r="H728" s="17"/>
      <c r="I728" s="17"/>
      <c r="J728" s="17"/>
      <c r="K728" s="22"/>
      <c r="L728" s="24"/>
    </row>
    <row r="729" spans="1:14" x14ac:dyDescent="0.3">
      <c r="A729" s="21"/>
      <c r="B729" s="21"/>
      <c r="C729" s="21"/>
      <c r="D729" s="21"/>
      <c r="E729" s="21"/>
      <c r="F729" s="21"/>
      <c r="G729" s="17"/>
      <c r="H729" s="17"/>
      <c r="I729" s="17"/>
      <c r="J729" s="17"/>
      <c r="K729" s="22"/>
      <c r="L729" s="24"/>
    </row>
    <row r="730" spans="1:14" x14ac:dyDescent="0.3">
      <c r="A730" s="21"/>
      <c r="B730" s="21"/>
      <c r="C730" s="17"/>
      <c r="D730" s="17"/>
      <c r="E730" s="17"/>
      <c r="F730" s="17"/>
      <c r="G730" s="18"/>
      <c r="H730" s="19"/>
      <c r="I730" s="19"/>
      <c r="J730" s="19"/>
      <c r="K730" s="20"/>
      <c r="L730" s="23"/>
    </row>
    <row r="731" spans="1:14" x14ac:dyDescent="0.3">
      <c r="A731" s="21"/>
      <c r="B731" s="21"/>
      <c r="C731" s="21"/>
      <c r="D731" s="21"/>
      <c r="E731" s="21"/>
      <c r="F731" s="21"/>
      <c r="G731" s="17"/>
      <c r="H731" s="17"/>
      <c r="I731" s="17"/>
      <c r="J731" s="17"/>
      <c r="K731" s="22"/>
      <c r="L731" s="24"/>
    </row>
    <row r="732" spans="1:14" x14ac:dyDescent="0.3">
      <c r="A732" s="21"/>
      <c r="B732" s="21"/>
      <c r="C732" s="21"/>
      <c r="D732" s="21"/>
      <c r="E732" s="21"/>
      <c r="F732" s="21"/>
      <c r="G732" s="17"/>
      <c r="H732" s="17"/>
      <c r="I732" s="17"/>
      <c r="J732" s="17"/>
      <c r="K732" s="22"/>
      <c r="L732" s="24"/>
    </row>
    <row r="733" spans="1:14" x14ac:dyDescent="0.3">
      <c r="A733" s="21"/>
      <c r="B733" s="21"/>
      <c r="C733" s="21"/>
      <c r="D733" s="21"/>
      <c r="E733" s="21"/>
      <c r="F733" s="21"/>
      <c r="G733" s="17"/>
      <c r="H733" s="17"/>
      <c r="I733" s="17"/>
      <c r="J733" s="17"/>
      <c r="K733" s="22"/>
      <c r="L733" s="24"/>
    </row>
    <row r="734" spans="1:14" x14ac:dyDescent="0.3">
      <c r="A734" s="21"/>
      <c r="B734" s="21"/>
      <c r="C734" s="21"/>
      <c r="D734" s="21"/>
      <c r="E734" s="21"/>
      <c r="F734" s="21"/>
      <c r="G734" s="17"/>
      <c r="H734" s="17"/>
      <c r="I734" s="17"/>
      <c r="J734" s="17"/>
      <c r="K734" s="22"/>
      <c r="L734" s="24"/>
    </row>
    <row r="735" spans="1:14" x14ac:dyDescent="0.3">
      <c r="A735" s="21"/>
      <c r="B735" s="21"/>
      <c r="C735" s="21"/>
      <c r="D735" s="21"/>
      <c r="E735" s="21"/>
      <c r="F735" s="21"/>
      <c r="G735" s="17"/>
      <c r="H735" s="17"/>
      <c r="I735" s="17"/>
      <c r="J735" s="17"/>
      <c r="K735" s="22"/>
      <c r="L735" s="24"/>
    </row>
    <row r="736" spans="1:14" x14ac:dyDescent="0.3">
      <c r="A736" s="21"/>
      <c r="B736" s="21"/>
      <c r="C736" s="21"/>
      <c r="D736" s="21"/>
      <c r="E736" s="21"/>
      <c r="F736" s="21"/>
      <c r="G736" s="17"/>
      <c r="H736" s="17"/>
      <c r="I736" s="17"/>
      <c r="J736" s="17"/>
      <c r="K736" s="22"/>
      <c r="L736" s="24"/>
    </row>
    <row r="737" spans="1:12" x14ac:dyDescent="0.3">
      <c r="A737" s="21"/>
      <c r="B737" s="21"/>
      <c r="C737" s="21"/>
      <c r="D737" s="21"/>
      <c r="E737" s="21"/>
      <c r="F737" s="21"/>
      <c r="G737" s="17"/>
      <c r="H737" s="17"/>
      <c r="I737" s="17"/>
      <c r="J737" s="17"/>
      <c r="K737" s="22"/>
      <c r="L737" s="24"/>
    </row>
    <row r="738" spans="1:12" x14ac:dyDescent="0.3">
      <c r="A738" s="21"/>
      <c r="B738" s="21"/>
      <c r="C738" s="21"/>
      <c r="D738" s="21"/>
      <c r="E738" s="21"/>
      <c r="F738" s="21"/>
      <c r="G738" s="17"/>
      <c r="H738" s="17"/>
      <c r="I738" s="17"/>
      <c r="J738" s="17"/>
      <c r="K738" s="22"/>
      <c r="L738" s="24"/>
    </row>
    <row r="739" spans="1:12" x14ac:dyDescent="0.3">
      <c r="A739" s="21"/>
      <c r="B739" s="21"/>
      <c r="C739" s="21"/>
      <c r="D739" s="21"/>
      <c r="E739" s="21"/>
      <c r="F739" s="21"/>
      <c r="G739" s="17"/>
      <c r="H739" s="17"/>
      <c r="I739" s="17"/>
      <c r="J739" s="17"/>
      <c r="K739" s="22"/>
      <c r="L739" s="24"/>
    </row>
    <row r="740" spans="1:12" x14ac:dyDescent="0.3">
      <c r="A740" s="21"/>
      <c r="B740" s="21"/>
      <c r="C740" s="21"/>
      <c r="D740" s="21"/>
      <c r="E740" s="21"/>
      <c r="F740" s="21"/>
      <c r="G740" s="17"/>
      <c r="H740" s="17"/>
      <c r="I740" s="17"/>
      <c r="J740" s="17"/>
      <c r="K740" s="22"/>
      <c r="L740" s="24"/>
    </row>
    <row r="741" spans="1:12" x14ac:dyDescent="0.3">
      <c r="A741" s="21"/>
      <c r="B741" s="21"/>
      <c r="C741" s="21"/>
      <c r="D741" s="21"/>
      <c r="E741" s="21"/>
      <c r="F741" s="21"/>
      <c r="G741" s="17"/>
      <c r="H741" s="17"/>
      <c r="I741" s="17"/>
      <c r="J741" s="17"/>
      <c r="K741" s="22"/>
      <c r="L741" s="24"/>
    </row>
    <row r="742" spans="1:12" x14ac:dyDescent="0.3">
      <c r="A742" s="21"/>
      <c r="B742" s="21"/>
      <c r="C742" s="21"/>
      <c r="D742" s="21"/>
      <c r="E742" s="21"/>
      <c r="F742" s="21"/>
      <c r="G742" s="17"/>
      <c r="H742" s="17"/>
      <c r="I742" s="17"/>
      <c r="J742" s="17"/>
      <c r="K742" s="22"/>
      <c r="L742" s="24"/>
    </row>
    <row r="743" spans="1:12" x14ac:dyDescent="0.3">
      <c r="A743" s="21"/>
      <c r="B743" s="21"/>
      <c r="C743" s="21"/>
      <c r="D743" s="21"/>
      <c r="E743" s="21"/>
      <c r="F743" s="21"/>
      <c r="G743" s="17"/>
      <c r="H743" s="17"/>
      <c r="I743" s="17"/>
      <c r="J743" s="17"/>
      <c r="K743" s="22"/>
      <c r="L743" s="24"/>
    </row>
    <row r="744" spans="1:12" x14ac:dyDescent="0.3">
      <c r="A744" s="21"/>
      <c r="B744" s="21"/>
      <c r="C744" s="21"/>
      <c r="D744" s="21"/>
      <c r="E744" s="21"/>
      <c r="F744" s="21"/>
      <c r="G744" s="17"/>
      <c r="H744" s="17"/>
      <c r="I744" s="17"/>
      <c r="J744" s="17"/>
      <c r="K744" s="22"/>
      <c r="L744" s="24"/>
    </row>
    <row r="745" spans="1:12" x14ac:dyDescent="0.3">
      <c r="A745" s="21"/>
      <c r="B745" s="21"/>
      <c r="C745" s="21"/>
      <c r="D745" s="21"/>
      <c r="E745" s="21"/>
      <c r="F745" s="21"/>
      <c r="G745" s="17"/>
      <c r="H745" s="17"/>
      <c r="I745" s="17"/>
      <c r="J745" s="17"/>
      <c r="K745" s="22"/>
      <c r="L745" s="24"/>
    </row>
    <row r="746" spans="1:12" x14ac:dyDescent="0.3">
      <c r="A746" s="21"/>
      <c r="B746" s="21"/>
      <c r="C746" s="21"/>
      <c r="D746" s="21"/>
      <c r="E746" s="21"/>
      <c r="F746" s="21"/>
      <c r="G746" s="17"/>
      <c r="H746" s="17"/>
      <c r="I746" s="17"/>
      <c r="J746" s="17"/>
      <c r="K746" s="22"/>
      <c r="L746" s="24"/>
    </row>
    <row r="747" spans="1:12" x14ac:dyDescent="0.3">
      <c r="A747" s="21"/>
      <c r="B747" s="21"/>
      <c r="C747" s="21"/>
      <c r="D747" s="21"/>
      <c r="E747" s="21"/>
      <c r="F747" s="21"/>
      <c r="G747" s="17"/>
      <c r="H747" s="17"/>
      <c r="I747" s="17"/>
      <c r="J747" s="17"/>
      <c r="K747" s="22"/>
      <c r="L747" s="24"/>
    </row>
    <row r="748" spans="1:12" x14ac:dyDescent="0.3">
      <c r="A748" s="21"/>
      <c r="B748" s="21"/>
      <c r="C748" s="21"/>
      <c r="D748" s="21"/>
      <c r="E748" s="21"/>
      <c r="F748" s="21"/>
      <c r="G748" s="17"/>
      <c r="H748" s="17"/>
      <c r="I748" s="17"/>
      <c r="J748" s="17"/>
      <c r="K748" s="22"/>
      <c r="L748" s="24"/>
    </row>
    <row r="749" spans="1:12" x14ac:dyDescent="0.3">
      <c r="A749" s="17"/>
      <c r="B749" s="17"/>
      <c r="C749" s="18"/>
      <c r="D749" s="19"/>
      <c r="E749" s="19"/>
      <c r="F749" s="19"/>
      <c r="G749" s="19"/>
      <c r="H749" s="19"/>
      <c r="I749" s="19"/>
      <c r="J749" s="19"/>
      <c r="K749" s="20"/>
      <c r="L749" s="23"/>
    </row>
    <row r="750" spans="1:12" x14ac:dyDescent="0.3">
      <c r="A750" s="21"/>
      <c r="B750" s="21"/>
      <c r="C750" s="17"/>
      <c r="D750" s="17"/>
      <c r="E750" s="17"/>
      <c r="F750" s="17"/>
      <c r="G750" s="18"/>
      <c r="H750" s="19"/>
      <c r="I750" s="19"/>
      <c r="J750" s="19"/>
      <c r="K750" s="20"/>
      <c r="L750" s="23"/>
    </row>
    <row r="751" spans="1:12" x14ac:dyDescent="0.3">
      <c r="A751" s="21"/>
      <c r="B751" s="21"/>
      <c r="C751" s="21"/>
      <c r="D751" s="21"/>
      <c r="E751" s="21"/>
      <c r="F751" s="21"/>
      <c r="G751" s="17"/>
      <c r="H751" s="17"/>
      <c r="I751" s="17"/>
      <c r="J751" s="17"/>
      <c r="K751" s="22"/>
      <c r="L751" s="24"/>
    </row>
    <row r="752" spans="1:12" x14ac:dyDescent="0.3">
      <c r="A752" s="21"/>
      <c r="B752" s="21"/>
      <c r="C752" s="21"/>
      <c r="D752" s="21"/>
      <c r="E752" s="21"/>
      <c r="F752" s="21"/>
      <c r="G752" s="17"/>
      <c r="H752" s="17"/>
      <c r="I752" s="17"/>
      <c r="J752" s="17"/>
      <c r="K752" s="22"/>
      <c r="L752" s="24"/>
    </row>
    <row r="753" spans="1:12" x14ac:dyDescent="0.3">
      <c r="A753" s="21"/>
      <c r="B753" s="21"/>
      <c r="C753" s="21"/>
      <c r="D753" s="21"/>
      <c r="E753" s="21"/>
      <c r="F753" s="21"/>
      <c r="G753" s="17"/>
      <c r="H753" s="17"/>
      <c r="I753" s="17"/>
      <c r="J753" s="17"/>
      <c r="K753" s="22"/>
      <c r="L753" s="24"/>
    </row>
    <row r="754" spans="1:12" x14ac:dyDescent="0.3">
      <c r="A754" s="21"/>
      <c r="B754" s="21"/>
      <c r="C754" s="21"/>
      <c r="D754" s="21"/>
      <c r="E754" s="21"/>
      <c r="F754" s="21"/>
      <c r="G754" s="17"/>
      <c r="H754" s="17"/>
      <c r="I754" s="17"/>
      <c r="J754" s="17"/>
      <c r="K754" s="22"/>
      <c r="L754" s="24"/>
    </row>
    <row r="755" spans="1:12" x14ac:dyDescent="0.3">
      <c r="A755" s="21"/>
      <c r="B755" s="21"/>
      <c r="C755" s="21"/>
      <c r="D755" s="21"/>
      <c r="E755" s="21"/>
      <c r="F755" s="21"/>
      <c r="G755" s="17"/>
      <c r="H755" s="17"/>
      <c r="I755" s="17"/>
      <c r="J755" s="17"/>
      <c r="K755" s="22"/>
      <c r="L755" s="24"/>
    </row>
    <row r="756" spans="1:12" x14ac:dyDescent="0.3">
      <c r="A756" s="21"/>
      <c r="B756" s="21"/>
      <c r="C756" s="21"/>
      <c r="D756" s="21"/>
      <c r="E756" s="21"/>
      <c r="F756" s="21"/>
      <c r="G756" s="17"/>
      <c r="H756" s="17"/>
      <c r="I756" s="17"/>
      <c r="J756" s="17"/>
      <c r="K756" s="22"/>
      <c r="L756" s="24"/>
    </row>
    <row r="757" spans="1:12" x14ac:dyDescent="0.3">
      <c r="A757" s="21"/>
      <c r="B757" s="21"/>
      <c r="C757" s="21"/>
      <c r="D757" s="21"/>
      <c r="E757" s="21"/>
      <c r="F757" s="21"/>
      <c r="G757" s="17"/>
      <c r="H757" s="17"/>
      <c r="I757" s="17"/>
      <c r="J757" s="17"/>
      <c r="K757" s="22"/>
      <c r="L757" s="24"/>
    </row>
    <row r="758" spans="1:12" x14ac:dyDescent="0.3">
      <c r="A758" s="21"/>
      <c r="B758" s="21"/>
      <c r="C758" s="21"/>
      <c r="D758" s="21"/>
      <c r="E758" s="21"/>
      <c r="F758" s="21"/>
      <c r="G758" s="17"/>
      <c r="H758" s="17"/>
      <c r="I758" s="17"/>
      <c r="J758" s="17"/>
      <c r="K758" s="22"/>
      <c r="L758" s="24"/>
    </row>
    <row r="759" spans="1:12" x14ac:dyDescent="0.3">
      <c r="A759" s="21"/>
      <c r="B759" s="21"/>
      <c r="C759" s="21"/>
      <c r="D759" s="21"/>
      <c r="E759" s="21"/>
      <c r="F759" s="21"/>
      <c r="G759" s="17"/>
      <c r="H759" s="17"/>
      <c r="I759" s="17"/>
      <c r="J759" s="17"/>
      <c r="K759" s="22"/>
      <c r="L759" s="24"/>
    </row>
    <row r="760" spans="1:12" x14ac:dyDescent="0.3">
      <c r="A760" s="21"/>
      <c r="B760" s="21"/>
      <c r="C760" s="21"/>
      <c r="D760" s="21"/>
      <c r="E760" s="21"/>
      <c r="F760" s="21"/>
      <c r="G760" s="17"/>
      <c r="H760" s="17"/>
      <c r="I760" s="17"/>
      <c r="J760" s="17"/>
      <c r="K760" s="22"/>
      <c r="L760" s="24"/>
    </row>
    <row r="761" spans="1:12" x14ac:dyDescent="0.3">
      <c r="A761" s="21"/>
      <c r="B761" s="21"/>
      <c r="C761" s="21"/>
      <c r="D761" s="21"/>
      <c r="E761" s="21"/>
      <c r="F761" s="21"/>
      <c r="G761" s="17"/>
      <c r="H761" s="17"/>
      <c r="I761" s="17"/>
      <c r="J761" s="17"/>
      <c r="K761" s="22"/>
      <c r="L761" s="24"/>
    </row>
    <row r="762" spans="1:12" x14ac:dyDescent="0.3">
      <c r="A762" s="21"/>
      <c r="B762" s="21"/>
      <c r="C762" s="17"/>
      <c r="D762" s="17"/>
      <c r="E762" s="17"/>
      <c r="F762" s="17"/>
      <c r="G762" s="17"/>
      <c r="H762" s="17"/>
      <c r="I762" s="17"/>
      <c r="J762" s="17"/>
      <c r="K762" s="22"/>
      <c r="L762" s="24"/>
    </row>
    <row r="763" spans="1:12" x14ac:dyDescent="0.3">
      <c r="A763" s="21"/>
      <c r="B763" s="21"/>
      <c r="C763" s="17"/>
      <c r="D763" s="17"/>
      <c r="E763" s="17"/>
      <c r="F763" s="17"/>
      <c r="G763" s="17"/>
      <c r="H763" s="17"/>
      <c r="I763" s="17"/>
      <c r="J763" s="17"/>
      <c r="K763" s="22"/>
      <c r="L763" s="24"/>
    </row>
    <row r="764" spans="1:12" x14ac:dyDescent="0.3">
      <c r="A764" s="21"/>
      <c r="B764" s="21"/>
      <c r="C764" s="17"/>
      <c r="D764" s="17"/>
      <c r="E764" s="17"/>
      <c r="F764" s="17"/>
      <c r="G764" s="18"/>
      <c r="H764" s="19"/>
      <c r="I764" s="19"/>
      <c r="J764" s="19"/>
      <c r="K764" s="20"/>
      <c r="L764" s="23"/>
    </row>
    <row r="765" spans="1:12" x14ac:dyDescent="0.3">
      <c r="A765" s="21"/>
      <c r="B765" s="21"/>
      <c r="C765" s="21"/>
      <c r="D765" s="21"/>
      <c r="E765" s="21"/>
      <c r="F765" s="21"/>
      <c r="G765" s="17"/>
      <c r="H765" s="17"/>
      <c r="I765" s="17"/>
      <c r="J765" s="17"/>
      <c r="K765" s="22"/>
      <c r="L765" s="24"/>
    </row>
    <row r="766" spans="1:12" x14ac:dyDescent="0.3">
      <c r="A766" s="21"/>
      <c r="B766" s="21"/>
      <c r="C766" s="21"/>
      <c r="D766" s="21"/>
      <c r="E766" s="21"/>
      <c r="F766" s="21"/>
      <c r="G766" s="17"/>
      <c r="H766" s="17"/>
      <c r="I766" s="17"/>
      <c r="J766" s="17"/>
      <c r="K766" s="22"/>
      <c r="L766" s="24"/>
    </row>
    <row r="767" spans="1:12" x14ac:dyDescent="0.3">
      <c r="A767" s="21"/>
      <c r="B767" s="21"/>
      <c r="C767" s="21"/>
      <c r="D767" s="21"/>
      <c r="E767" s="21"/>
      <c r="F767" s="21"/>
      <c r="G767" s="17"/>
      <c r="H767" s="17"/>
      <c r="I767" s="17"/>
      <c r="J767" s="17"/>
      <c r="K767" s="22"/>
      <c r="L767" s="24"/>
    </row>
    <row r="768" spans="1:12" x14ac:dyDescent="0.3">
      <c r="A768" s="21"/>
      <c r="B768" s="21"/>
      <c r="C768" s="21"/>
      <c r="D768" s="21"/>
      <c r="E768" s="21"/>
      <c r="F768" s="21"/>
      <c r="G768" s="17"/>
      <c r="H768" s="17"/>
      <c r="I768" s="17"/>
      <c r="J768" s="17"/>
      <c r="K768" s="22"/>
      <c r="L768" s="24"/>
    </row>
    <row r="769" spans="1:12" x14ac:dyDescent="0.3">
      <c r="A769" s="21"/>
      <c r="B769" s="21"/>
      <c r="C769" s="21"/>
      <c r="D769" s="21"/>
      <c r="E769" s="21"/>
      <c r="F769" s="21"/>
      <c r="G769" s="17"/>
      <c r="H769" s="17"/>
      <c r="I769" s="17"/>
      <c r="J769" s="17"/>
      <c r="K769" s="22"/>
      <c r="L769" s="24"/>
    </row>
    <row r="770" spans="1:12" x14ac:dyDescent="0.3">
      <c r="A770" s="21"/>
      <c r="B770" s="21"/>
      <c r="C770" s="17"/>
      <c r="D770" s="17"/>
      <c r="E770" s="17"/>
      <c r="F770" s="17"/>
      <c r="G770" s="18"/>
      <c r="H770" s="19"/>
      <c r="I770" s="19"/>
      <c r="J770" s="19"/>
      <c r="K770" s="20"/>
      <c r="L770" s="23"/>
    </row>
    <row r="771" spans="1:12" x14ac:dyDescent="0.3">
      <c r="A771" s="21"/>
      <c r="B771" s="21"/>
      <c r="C771" s="21"/>
      <c r="D771" s="21"/>
      <c r="E771" s="21"/>
      <c r="F771" s="21"/>
      <c r="G771" s="17"/>
      <c r="H771" s="17"/>
      <c r="I771" s="17"/>
      <c r="J771" s="17"/>
      <c r="K771" s="22"/>
      <c r="L771" s="24"/>
    </row>
    <row r="772" spans="1:12" x14ac:dyDescent="0.3">
      <c r="A772" s="21"/>
      <c r="B772" s="21"/>
      <c r="C772" s="21"/>
      <c r="D772" s="21"/>
      <c r="E772" s="21"/>
      <c r="F772" s="21"/>
      <c r="G772" s="17"/>
      <c r="H772" s="17"/>
      <c r="I772" s="17"/>
      <c r="J772" s="17"/>
      <c r="K772" s="22"/>
      <c r="L772" s="24"/>
    </row>
    <row r="773" spans="1:12" x14ac:dyDescent="0.3">
      <c r="A773" s="21"/>
      <c r="B773" s="21"/>
      <c r="C773" s="21"/>
      <c r="D773" s="21"/>
      <c r="E773" s="21"/>
      <c r="F773" s="21"/>
      <c r="G773" s="17"/>
      <c r="H773" s="17"/>
      <c r="I773" s="17"/>
      <c r="J773" s="17"/>
      <c r="K773" s="22"/>
      <c r="L773" s="24"/>
    </row>
    <row r="774" spans="1:12" x14ac:dyDescent="0.3">
      <c r="A774" s="21"/>
      <c r="B774" s="21"/>
      <c r="C774" s="21"/>
      <c r="D774" s="21"/>
      <c r="E774" s="21"/>
      <c r="F774" s="21"/>
      <c r="G774" s="17"/>
      <c r="H774" s="17"/>
      <c r="I774" s="17"/>
      <c r="J774" s="17"/>
      <c r="K774" s="22"/>
      <c r="L774" s="24"/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66409A-C2CC-4D23-A780-6B597DA41D39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May 2</vt:lpstr>
      <vt:lpstr>May 3</vt:lpstr>
      <vt:lpstr>May 4</vt:lpstr>
      <vt:lpstr>May 5</vt:lpstr>
      <vt:lpstr>May 13</vt:lpstr>
      <vt:lpstr>Week 18</vt:lpstr>
      <vt:lpstr>SAPCrosstab2</vt:lpstr>
      <vt:lpstr>SAPCrosstab8</vt:lpstr>
    </vt:vector>
  </TitlesOfParts>
  <Manager/>
  <Company>Fritz Egger GmbH Co. OG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Charles Andrea</dc:creator>
  <cp:keywords/>
  <dc:description/>
  <cp:lastModifiedBy>Patrick Burcham</cp:lastModifiedBy>
  <cp:revision/>
  <dcterms:created xsi:type="dcterms:W3CDTF">2021-09-29T17:38:20Z</dcterms:created>
  <dcterms:modified xsi:type="dcterms:W3CDTF">2023-07-04T22:28:13Z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